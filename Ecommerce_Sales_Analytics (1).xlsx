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 defaultThemeVersion="166925"/>
  <xr:revisionPtr revIDLastSave="0" documentId="8_{D23959EF-C007-4B2B-B54B-44CFC9324846}" xr6:coauthVersionLast="47" xr6:coauthVersionMax="47" xr10:uidLastSave="{00000000-0000-0000-0000-000000000000}"/>
  <bookViews>
    <workbookView xWindow="240" yWindow="105" windowWidth="14805" windowHeight="8010" firstSheet="4" activeTab="4" xr2:uid="{00000000-000D-0000-FFFF-FFFF00000000}"/>
  </bookViews>
  <sheets>
    <sheet name="Raw Data" sheetId="1" r:id="rId1"/>
    <sheet name="ProductDB" sheetId="2" r:id="rId2"/>
    <sheet name="CustomerDB" sheetId="3" r:id="rId3"/>
    <sheet name="Cleaned" sheetId="4" r:id="rId4"/>
    <sheet name="Analysis" sheetId="5" r:id="rId5"/>
    <sheet name="Pivots" sheetId="6" r:id="rId6"/>
    <sheet name="Dashboard" sheetId="7" r:id="rId7"/>
  </sheets>
  <definedNames>
    <definedName name="CleanedData">Cleaned!$A$2:$T$29</definedName>
    <definedName name="Region">Cleaned!$J:$J</definedName>
    <definedName name="Revenue">Cleaned!$R:$R</definedName>
    <definedName name="Slicer_Category">#N/A</definedName>
    <definedName name="Slicer_Region">#N/A</definedName>
    <definedName name="Slicer_Status">#N/A</definedName>
    <definedName name="Status">Cleaned!$R:$R</definedName>
  </definedNames>
  <calcPr calcId="191028"/>
  <pivotCaches>
    <pivotCache cacheId="190" r:id="rId8"/>
  </pivotCaches>
  <extLst>
    <ext xmlns:x14="http://schemas.microsoft.com/office/spreadsheetml/2009/9/main" uri="{BBE1A952-AA13-448e-AADC-164F8A28A991}">
      <x14:slicerCaches>
        <x14:slicerCache r:id="rId9"/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5" l="1"/>
  <c r="D5" i="7"/>
  <c r="C5" i="7"/>
  <c r="A5" i="7"/>
  <c r="I4" i="5"/>
  <c r="I3" i="5"/>
  <c r="I2" i="5"/>
  <c r="A27" i="5"/>
  <c r="A26" i="5"/>
  <c r="A25" i="5"/>
  <c r="A24" i="5"/>
  <c r="A23" i="5"/>
  <c r="A22" i="5"/>
  <c r="D6" i="5"/>
  <c r="D7" i="5"/>
  <c r="D8" i="5"/>
  <c r="D5" i="5"/>
  <c r="E40" i="5"/>
  <c r="E41" i="5"/>
  <c r="E42" i="5"/>
  <c r="E43" i="5"/>
  <c r="E44" i="5"/>
  <c r="E39" i="5"/>
  <c r="G10" i="5"/>
  <c r="G9" i="5"/>
  <c r="Q12" i="4"/>
  <c r="R30" i="4"/>
  <c r="P30" i="4"/>
  <c r="O30" i="4"/>
  <c r="N30" i="4"/>
  <c r="Q30" i="4" s="1"/>
  <c r="L30" i="4"/>
  <c r="J30" i="4"/>
  <c r="G30" i="4"/>
  <c r="C30" i="4"/>
  <c r="B30" i="4"/>
  <c r="A30" i="4"/>
  <c r="R29" i="4"/>
  <c r="P29" i="4"/>
  <c r="O29" i="4"/>
  <c r="N29" i="4"/>
  <c r="Q29" i="4" s="1"/>
  <c r="J29" i="4"/>
  <c r="G29" i="4"/>
  <c r="C29" i="4"/>
  <c r="B29" i="4"/>
  <c r="A29" i="4"/>
  <c r="R28" i="4"/>
  <c r="P28" i="4"/>
  <c r="O28" i="4"/>
  <c r="S28" i="4" s="1"/>
  <c r="N28" i="4"/>
  <c r="Q28" i="4" s="1"/>
  <c r="J28" i="4"/>
  <c r="G28" i="4"/>
  <c r="C28" i="4"/>
  <c r="B28" i="4"/>
  <c r="A28" i="4"/>
  <c r="R27" i="4"/>
  <c r="P27" i="4"/>
  <c r="O27" i="4"/>
  <c r="N27" i="4"/>
  <c r="Q27" i="4" s="1"/>
  <c r="J27" i="4"/>
  <c r="G27" i="4"/>
  <c r="C27" i="4"/>
  <c r="B27" i="4"/>
  <c r="A27" i="4"/>
  <c r="R26" i="4"/>
  <c r="P26" i="4"/>
  <c r="O26" i="4"/>
  <c r="N26" i="4"/>
  <c r="Q26" i="4" s="1"/>
  <c r="J26" i="4"/>
  <c r="G26" i="4"/>
  <c r="C26" i="4"/>
  <c r="B26" i="4"/>
  <c r="A26" i="4"/>
  <c r="R25" i="4"/>
  <c r="P25" i="4"/>
  <c r="O25" i="4"/>
  <c r="N25" i="4"/>
  <c r="Q25" i="4" s="1"/>
  <c r="J25" i="4"/>
  <c r="G25" i="4"/>
  <c r="C25" i="4"/>
  <c r="B25" i="4"/>
  <c r="A25" i="4"/>
  <c r="R24" i="4"/>
  <c r="P24" i="4"/>
  <c r="O24" i="4"/>
  <c r="N24" i="4"/>
  <c r="Q24" i="4" s="1"/>
  <c r="J24" i="4"/>
  <c r="G24" i="4"/>
  <c r="C24" i="4"/>
  <c r="B24" i="4"/>
  <c r="A24" i="4"/>
  <c r="R23" i="4"/>
  <c r="P23" i="4"/>
  <c r="O23" i="4"/>
  <c r="N23" i="4"/>
  <c r="Q23" i="4" s="1"/>
  <c r="J23" i="4"/>
  <c r="G23" i="4"/>
  <c r="C23" i="4"/>
  <c r="B23" i="4"/>
  <c r="A23" i="4"/>
  <c r="R22" i="4"/>
  <c r="P22" i="4"/>
  <c r="O22" i="4"/>
  <c r="N22" i="4"/>
  <c r="Q22" i="4" s="1"/>
  <c r="K22" i="4"/>
  <c r="T22" i="4" s="1"/>
  <c r="J22" i="4"/>
  <c r="G22" i="4"/>
  <c r="C22" i="4"/>
  <c r="B22" i="4"/>
  <c r="A22" i="4"/>
  <c r="R21" i="4"/>
  <c r="P21" i="4"/>
  <c r="O21" i="4"/>
  <c r="N21" i="4"/>
  <c r="Q21" i="4" s="1"/>
  <c r="K21" i="4"/>
  <c r="T21" i="4" s="1"/>
  <c r="J21" i="4"/>
  <c r="G21" i="4"/>
  <c r="C21" i="4"/>
  <c r="B21" i="4"/>
  <c r="A21" i="4"/>
  <c r="R20" i="4"/>
  <c r="P20" i="4"/>
  <c r="O20" i="4"/>
  <c r="N20" i="4"/>
  <c r="Q20" i="4" s="1"/>
  <c r="L20" i="4"/>
  <c r="K20" i="4"/>
  <c r="T20" i="4" s="1"/>
  <c r="J20" i="4"/>
  <c r="G20" i="4"/>
  <c r="C20" i="4"/>
  <c r="B20" i="4"/>
  <c r="A20" i="4"/>
  <c r="R19" i="4"/>
  <c r="P19" i="4"/>
  <c r="O19" i="4"/>
  <c r="N19" i="4"/>
  <c r="Q19" i="4" s="1"/>
  <c r="L19" i="4"/>
  <c r="K19" i="4"/>
  <c r="T19" i="4" s="1"/>
  <c r="J19" i="4"/>
  <c r="G19" i="4"/>
  <c r="C19" i="4"/>
  <c r="B19" i="4"/>
  <c r="A19" i="4"/>
  <c r="R18" i="4"/>
  <c r="P18" i="4"/>
  <c r="O18" i="4"/>
  <c r="N18" i="4"/>
  <c r="Q18" i="4" s="1"/>
  <c r="J18" i="4"/>
  <c r="G18" i="4"/>
  <c r="C18" i="4"/>
  <c r="B18" i="4"/>
  <c r="A18" i="4"/>
  <c r="R17" i="4"/>
  <c r="P17" i="4"/>
  <c r="O17" i="4"/>
  <c r="N17" i="4"/>
  <c r="Q17" i="4" s="1"/>
  <c r="J17" i="4"/>
  <c r="G17" i="4"/>
  <c r="C17" i="4"/>
  <c r="B17" i="4"/>
  <c r="A17" i="4"/>
  <c r="R16" i="4"/>
  <c r="P16" i="4"/>
  <c r="O16" i="4"/>
  <c r="N16" i="4"/>
  <c r="Q16" i="4" s="1"/>
  <c r="K16" i="4"/>
  <c r="T16" i="4" s="1"/>
  <c r="J16" i="4"/>
  <c r="G16" i="4"/>
  <c r="C16" i="4"/>
  <c r="B16" i="4"/>
  <c r="A16" i="4"/>
  <c r="R15" i="4"/>
  <c r="P15" i="4"/>
  <c r="O15" i="4"/>
  <c r="N15" i="4"/>
  <c r="Q15" i="4" s="1"/>
  <c r="K15" i="4"/>
  <c r="T15" i="4" s="1"/>
  <c r="J15" i="4"/>
  <c r="G15" i="4"/>
  <c r="C15" i="4"/>
  <c r="B15" i="4"/>
  <c r="A15" i="4"/>
  <c r="R14" i="4"/>
  <c r="P14" i="4"/>
  <c r="O14" i="4"/>
  <c r="N14" i="4"/>
  <c r="Q14" i="4" s="1"/>
  <c r="L14" i="4"/>
  <c r="J14" i="4"/>
  <c r="G14" i="4"/>
  <c r="C14" i="4"/>
  <c r="B14" i="4"/>
  <c r="A14" i="4"/>
  <c r="R13" i="4"/>
  <c r="P13" i="4"/>
  <c r="O13" i="4"/>
  <c r="N13" i="4"/>
  <c r="J13" i="4"/>
  <c r="G13" i="4"/>
  <c r="C13" i="4"/>
  <c r="B13" i="4"/>
  <c r="A13" i="4"/>
  <c r="R12" i="4"/>
  <c r="P12" i="4"/>
  <c r="O12" i="4"/>
  <c r="N12" i="4"/>
  <c r="J12" i="4"/>
  <c r="G12" i="4"/>
  <c r="C12" i="4"/>
  <c r="B12" i="4"/>
  <c r="A12" i="4"/>
  <c r="R11" i="4"/>
  <c r="P11" i="4"/>
  <c r="O11" i="4"/>
  <c r="N11" i="4"/>
  <c r="Q11" i="4" s="1"/>
  <c r="K11" i="4"/>
  <c r="T11" i="4" s="1"/>
  <c r="J11" i="4"/>
  <c r="G11" i="4"/>
  <c r="C11" i="4"/>
  <c r="B11" i="4"/>
  <c r="A11" i="4"/>
  <c r="R10" i="4"/>
  <c r="P10" i="4"/>
  <c r="O10" i="4"/>
  <c r="N10" i="4"/>
  <c r="Q10" i="4" s="1"/>
  <c r="L10" i="4"/>
  <c r="K10" i="4"/>
  <c r="T10" i="4" s="1"/>
  <c r="J10" i="4"/>
  <c r="G10" i="4"/>
  <c r="C10" i="4"/>
  <c r="B10" i="4"/>
  <c r="A10" i="4"/>
  <c r="R9" i="4"/>
  <c r="P9" i="4"/>
  <c r="O9" i="4"/>
  <c r="N9" i="4"/>
  <c r="Q9" i="4" s="1"/>
  <c r="J9" i="4"/>
  <c r="G9" i="4"/>
  <c r="C9" i="4"/>
  <c r="B9" i="4"/>
  <c r="A9" i="4"/>
  <c r="R8" i="4"/>
  <c r="P8" i="4"/>
  <c r="O8" i="4"/>
  <c r="N8" i="4"/>
  <c r="Q8" i="4" s="1"/>
  <c r="J8" i="4"/>
  <c r="G8" i="4"/>
  <c r="C8" i="4"/>
  <c r="B8" i="4"/>
  <c r="A8" i="4"/>
  <c r="R7" i="4"/>
  <c r="P7" i="4"/>
  <c r="O7" i="4"/>
  <c r="N7" i="4"/>
  <c r="Q7" i="4" s="1"/>
  <c r="K7" i="4"/>
  <c r="T7" i="4" s="1"/>
  <c r="J7" i="4"/>
  <c r="G7" i="4"/>
  <c r="C7" i="4"/>
  <c r="B7" i="4"/>
  <c r="A7" i="4"/>
  <c r="R6" i="4"/>
  <c r="P6" i="4"/>
  <c r="O6" i="4"/>
  <c r="N6" i="4"/>
  <c r="Q6" i="4" s="1"/>
  <c r="L6" i="4"/>
  <c r="J6" i="4"/>
  <c r="G6" i="4"/>
  <c r="C6" i="4"/>
  <c r="B6" i="4"/>
  <c r="A6" i="4"/>
  <c r="R5" i="4"/>
  <c r="P5" i="4"/>
  <c r="O5" i="4"/>
  <c r="N5" i="4"/>
  <c r="Q5" i="4" s="1"/>
  <c r="J5" i="4"/>
  <c r="G5" i="4"/>
  <c r="C5" i="4"/>
  <c r="B5" i="4"/>
  <c r="A5" i="4"/>
  <c r="R4" i="4"/>
  <c r="P4" i="4"/>
  <c r="O4" i="4"/>
  <c r="N4" i="4"/>
  <c r="Q4" i="4" s="1"/>
  <c r="L4" i="4"/>
  <c r="K4" i="4"/>
  <c r="T4" i="4" s="1"/>
  <c r="J4" i="4"/>
  <c r="G4" i="4"/>
  <c r="C4" i="4"/>
  <c r="B4" i="4"/>
  <c r="A4" i="4"/>
  <c r="R3" i="4"/>
  <c r="P3" i="4"/>
  <c r="O3" i="4"/>
  <c r="N3" i="4"/>
  <c r="Q3" i="4" s="1"/>
  <c r="K3" i="4"/>
  <c r="T3" i="4" s="1"/>
  <c r="J3" i="4"/>
  <c r="G3" i="4"/>
  <c r="C3" i="4"/>
  <c r="B3" i="4"/>
  <c r="A3" i="4"/>
  <c r="B40" i="5"/>
  <c r="B41" i="5"/>
  <c r="B42" i="5"/>
  <c r="B43" i="5"/>
  <c r="B44" i="5"/>
  <c r="G3" i="5"/>
  <c r="F3" i="4" l="1"/>
  <c r="E3" i="4"/>
  <c r="D3" i="4"/>
  <c r="I3" i="4"/>
  <c r="H3" i="4"/>
  <c r="S3" i="4"/>
  <c r="F4" i="4"/>
  <c r="E4" i="4"/>
  <c r="D4" i="4"/>
  <c r="I4" i="4"/>
  <c r="H4" i="4"/>
  <c r="M4" i="4"/>
  <c r="S4" i="4"/>
  <c r="I5" i="4"/>
  <c r="H5" i="4"/>
  <c r="S5" i="4"/>
  <c r="F6" i="4"/>
  <c r="E6" i="4"/>
  <c r="D6" i="4"/>
  <c r="S6" i="4"/>
  <c r="F7" i="4"/>
  <c r="E7" i="4"/>
  <c r="D7" i="4"/>
  <c r="I7" i="4"/>
  <c r="H7" i="4"/>
  <c r="S7" i="4"/>
  <c r="S8" i="4"/>
  <c r="S9" i="4"/>
  <c r="M10" i="4"/>
  <c r="S10" i="4"/>
  <c r="S11" i="4"/>
  <c r="S12" i="4"/>
  <c r="S13" i="4"/>
  <c r="S14" i="4"/>
  <c r="S15" i="4"/>
  <c r="S16" i="4"/>
  <c r="S17" i="4"/>
  <c r="S18" i="4"/>
  <c r="M19" i="4"/>
  <c r="S19" i="4"/>
  <c r="M20" i="4"/>
  <c r="S20" i="4"/>
  <c r="S21" i="4"/>
  <c r="S22" i="4"/>
  <c r="S23" i="4"/>
  <c r="S24" i="4"/>
  <c r="S25" i="4"/>
  <c r="S26" i="4"/>
  <c r="S27" i="4"/>
  <c r="S29" i="4"/>
  <c r="S30" i="4"/>
  <c r="D40" i="5"/>
  <c r="D41" i="5"/>
  <c r="D42" i="5"/>
  <c r="D43" i="5"/>
  <c r="D44" i="5"/>
  <c r="D39" i="5"/>
  <c r="C40" i="5"/>
  <c r="C41" i="5"/>
  <c r="C42" i="5"/>
  <c r="C43" i="5"/>
  <c r="C44" i="5"/>
  <c r="C39" i="5"/>
  <c r="C6" i="5"/>
  <c r="C7" i="5"/>
  <c r="C8" i="5"/>
  <c r="C5" i="5"/>
  <c r="C9" i="5" s="1"/>
  <c r="B6" i="5"/>
  <c r="B7" i="5"/>
  <c r="B8" i="5"/>
  <c r="B5" i="5"/>
  <c r="B9" i="5" s="1"/>
  <c r="C23" i="5"/>
  <c r="C24" i="5"/>
  <c r="C25" i="5"/>
  <c r="C26" i="5"/>
  <c r="C27" i="5"/>
  <c r="C22" i="5"/>
  <c r="C28" i="5" s="1"/>
  <c r="B23" i="5"/>
  <c r="B24" i="5"/>
  <c r="B25" i="5"/>
  <c r="B26" i="5"/>
  <c r="B27" i="5"/>
  <c r="B28" i="5"/>
  <c r="G6" i="5"/>
  <c r="G5" i="5"/>
  <c r="G2" i="5"/>
  <c r="G4" i="5" s="1"/>
  <c r="D32" i="5"/>
  <c r="D33" i="5"/>
  <c r="D34" i="5"/>
  <c r="D35" i="5"/>
  <c r="D31" i="5"/>
  <c r="G8" i="5"/>
  <c r="G7" i="5"/>
  <c r="C14" i="5" l="1"/>
  <c r="C15" i="5"/>
  <c r="C16" i="5"/>
  <c r="C17" i="5"/>
  <c r="C13" i="5"/>
  <c r="C18" i="5" s="1"/>
  <c r="B14" i="5"/>
  <c r="B15" i="5"/>
  <c r="B16" i="5"/>
  <c r="B17" i="5"/>
  <c r="B13" i="5"/>
  <c r="B18" i="5" s="1"/>
  <c r="B31" i="5"/>
  <c r="C31" i="5"/>
  <c r="B35" i="5"/>
  <c r="C35" i="5"/>
  <c r="B34" i="5"/>
  <c r="C34" i="5"/>
  <c r="B33" i="5"/>
  <c r="C33" i="5"/>
  <c r="B32" i="5"/>
  <c r="C32" i="5"/>
</calcChain>
</file>

<file path=xl/sharedStrings.xml><?xml version="1.0" encoding="utf-8"?>
<sst xmlns="http://schemas.openxmlformats.org/spreadsheetml/2006/main" count="712" uniqueCount="232">
  <si>
    <t>Order ID</t>
  </si>
  <si>
    <t>Customer ID</t>
  </si>
  <si>
    <t>Customer Name</t>
  </si>
  <si>
    <t>Product ID</t>
  </si>
  <si>
    <t>Product Name</t>
  </si>
  <si>
    <t>Category</t>
  </si>
  <si>
    <t>Region</t>
  </si>
  <si>
    <t>Order Date</t>
  </si>
  <si>
    <t>Delivery Date</t>
  </si>
  <si>
    <t>Quantity</t>
  </si>
  <si>
    <t>Unit Price</t>
  </si>
  <si>
    <t>Discount %</t>
  </si>
  <si>
    <t>Status</t>
  </si>
  <si>
    <t>ORD001</t>
  </si>
  <si>
    <t>C001</t>
  </si>
  <si>
    <t>priya sharma</t>
  </si>
  <si>
    <t>P003</t>
  </si>
  <si>
    <t>Laptop Pro</t>
  </si>
  <si>
    <t>Electronics</t>
  </si>
  <si>
    <t>north</t>
  </si>
  <si>
    <t>₹55000</t>
  </si>
  <si>
    <t>delivered</t>
  </si>
  <si>
    <t>ORD002</t>
  </si>
  <si>
    <t>C002</t>
  </si>
  <si>
    <t>ARJUN NAIR</t>
  </si>
  <si>
    <t>P001</t>
  </si>
  <si>
    <t>Cotton Tshirt</t>
  </si>
  <si>
    <t>Fashion</t>
  </si>
  <si>
    <t>south</t>
  </si>
  <si>
    <t>18-01-2026</t>
  </si>
  <si>
    <t>₹799</t>
  </si>
  <si>
    <t>Pending</t>
  </si>
  <si>
    <t>ORD003</t>
  </si>
  <si>
    <t>C003</t>
  </si>
  <si>
    <t>sneha reddy</t>
  </si>
  <si>
    <t>P002</t>
  </si>
  <si>
    <t>Face Cream</t>
  </si>
  <si>
    <t>Beauty</t>
  </si>
  <si>
    <t>EAST</t>
  </si>
  <si>
    <t>₹1200</t>
  </si>
  <si>
    <t>Delivered</t>
  </si>
  <si>
    <t>ORD004</t>
  </si>
  <si>
    <t>P004</t>
  </si>
  <si>
    <t>Running Shoes</t>
  </si>
  <si>
    <t>Sports</t>
  </si>
  <si>
    <t>North</t>
  </si>
  <si>
    <t>18-02-2026</t>
  </si>
  <si>
    <t>25-02-2026</t>
  </si>
  <si>
    <t>₹3500</t>
  </si>
  <si>
    <t>ORD005</t>
  </si>
  <si>
    <t>C004</t>
  </si>
  <si>
    <t>RAHUL DAS</t>
  </si>
  <si>
    <t>Cancelled</t>
  </si>
  <si>
    <t>ORD006</t>
  </si>
  <si>
    <t>C005</t>
  </si>
  <si>
    <t>divya krishna</t>
  </si>
  <si>
    <t>P005</t>
  </si>
  <si>
    <t>Rice Cooker</t>
  </si>
  <si>
    <t>Kitchen</t>
  </si>
  <si>
    <t>East</t>
  </si>
  <si>
    <t>14-03-2026</t>
  </si>
  <si>
    <t>₹2800</t>
  </si>
  <si>
    <t>DELIVERED</t>
  </si>
  <si>
    <t>ORD007</t>
  </si>
  <si>
    <t>South</t>
  </si>
  <si>
    <t>20-03-2026</t>
  </si>
  <si>
    <t>ORD008</t>
  </si>
  <si>
    <t>C006</t>
  </si>
  <si>
    <t>meera nair</t>
  </si>
  <si>
    <t>NORTH</t>
  </si>
  <si>
    <t>22-03-2026</t>
  </si>
  <si>
    <t>28-03-2026</t>
  </si>
  <si>
    <t>ORD009</t>
  </si>
  <si>
    <t>ORD010</t>
  </si>
  <si>
    <t>C007</t>
  </si>
  <si>
    <t>KIRAN RAO</t>
  </si>
  <si>
    <t>west</t>
  </si>
  <si>
    <t>15-04-2026</t>
  </si>
  <si>
    <t>ORD011</t>
  </si>
  <si>
    <t>C008</t>
  </si>
  <si>
    <t>pooja singh</t>
  </si>
  <si>
    <t>21-04-2026</t>
  </si>
  <si>
    <t>ORD012</t>
  </si>
  <si>
    <t>SOUTH</t>
  </si>
  <si>
    <t>20-04-2026</t>
  </si>
  <si>
    <t>27-04-2026</t>
  </si>
  <si>
    <t>ORD013</t>
  </si>
  <si>
    <t>C009</t>
  </si>
  <si>
    <t>arun kumar</t>
  </si>
  <si>
    <t>28-04-2026</t>
  </si>
  <si>
    <t>ORD014</t>
  </si>
  <si>
    <t>WEST</t>
  </si>
  <si>
    <t>12-05-202</t>
  </si>
  <si>
    <t>ORD015</t>
  </si>
  <si>
    <t>C010</t>
  </si>
  <si>
    <t>VIJAY KUMAR</t>
  </si>
  <si>
    <t>19-05-2026</t>
  </si>
  <si>
    <t>ORD016</t>
  </si>
  <si>
    <t>18-05-2026</t>
  </si>
  <si>
    <t>24-05-2026</t>
  </si>
  <si>
    <t>ORD017</t>
  </si>
  <si>
    <t>25-05-2026</t>
  </si>
  <si>
    <t>31-05-2026</t>
  </si>
  <si>
    <t>ORD018</t>
  </si>
  <si>
    <t>ORD019</t>
  </si>
  <si>
    <t>West</t>
  </si>
  <si>
    <t>ORD020</t>
  </si>
  <si>
    <t>17-06-2026</t>
  </si>
  <si>
    <t>ORD021</t>
  </si>
  <si>
    <t xml:space="preserve">arun kumar </t>
  </si>
  <si>
    <t>18-06-2026</t>
  </si>
  <si>
    <t>ORD022</t>
  </si>
  <si>
    <t>14-06-2026</t>
  </si>
  <si>
    <t>21-06-2026</t>
  </si>
  <si>
    <t>ORD023</t>
  </si>
  <si>
    <t>22-06-2026</t>
  </si>
  <si>
    <t>ORD024</t>
  </si>
  <si>
    <t>25-06-2026</t>
  </si>
  <si>
    <t>ORD025</t>
  </si>
  <si>
    <t>20-06-2026</t>
  </si>
  <si>
    <t>27-06-2026</t>
  </si>
  <si>
    <t>ORD026</t>
  </si>
  <si>
    <t>nrth</t>
  </si>
  <si>
    <t>28-06-2026</t>
  </si>
  <si>
    <t>ORD027</t>
  </si>
  <si>
    <t>29-06-2026</t>
  </si>
  <si>
    <t>ORD028</t>
  </si>
  <si>
    <t>23-06-2026</t>
  </si>
  <si>
    <t>30-06-2026</t>
  </si>
  <si>
    <t>ORD029</t>
  </si>
  <si>
    <t>24-06-2026</t>
  </si>
  <si>
    <t>Unit Price (₹)</t>
  </si>
  <si>
    <t>Cost Price (₹)</t>
  </si>
  <si>
    <t>Profit Margin %</t>
  </si>
  <si>
    <t>Running shoes</t>
  </si>
  <si>
    <t>City</t>
  </si>
  <si>
    <t>State</t>
  </si>
  <si>
    <t>Customer Since</t>
  </si>
  <si>
    <t>Customer Type</t>
  </si>
  <si>
    <t>Proya Sharma</t>
  </si>
  <si>
    <t>Bangalore</t>
  </si>
  <si>
    <t>Karnataka</t>
  </si>
  <si>
    <t>15-03-2023</t>
  </si>
  <si>
    <t>Premium</t>
  </si>
  <si>
    <t>Arjun Nair</t>
  </si>
  <si>
    <t>Chennai</t>
  </si>
  <si>
    <t>Tamil Nadu</t>
  </si>
  <si>
    <t>22-07-2022</t>
  </si>
  <si>
    <t>Regular</t>
  </si>
  <si>
    <t>Sneha Reddy</t>
  </si>
  <si>
    <t>Hyderabad</t>
  </si>
  <si>
    <t>Telangana</t>
  </si>
  <si>
    <t>Rahul Das</t>
  </si>
  <si>
    <t>Kolkata</t>
  </si>
  <si>
    <t>West Bengal</t>
  </si>
  <si>
    <t>Divya Krishna</t>
  </si>
  <si>
    <t>Mumbai</t>
  </si>
  <si>
    <t>Maharashtra</t>
  </si>
  <si>
    <t>18-11-2023</t>
  </si>
  <si>
    <t>Meera Nair</t>
  </si>
  <si>
    <t>Kochi</t>
  </si>
  <si>
    <t>Kerala</t>
  </si>
  <si>
    <t>30-04-2022</t>
  </si>
  <si>
    <t>Kiran Rao</t>
  </si>
  <si>
    <t>Pune</t>
  </si>
  <si>
    <t>14-06-2023</t>
  </si>
  <si>
    <t>Pooja Singh</t>
  </si>
  <si>
    <t>Delhi</t>
  </si>
  <si>
    <t>Arun Kumar</t>
  </si>
  <si>
    <t>Ahmedabad</t>
  </si>
  <si>
    <t>Gujarat</t>
  </si>
  <si>
    <t>25-08-2022</t>
  </si>
  <si>
    <t>Vijay Kumar</t>
  </si>
  <si>
    <t>Jaipur</t>
  </si>
  <si>
    <t>Rajasthan</t>
  </si>
  <si>
    <t>Delivery Days</t>
  </si>
  <si>
    <t>Revenue</t>
  </si>
  <si>
    <t>Data Flag</t>
  </si>
  <si>
    <t>Month</t>
  </si>
  <si>
    <t>Priya Sharma</t>
  </si>
  <si>
    <t>OK</t>
  </si>
  <si>
    <t>Jan-2026</t>
  </si>
  <si>
    <t>16-06-2026</t>
  </si>
  <si>
    <t>E-COMMERCE SALES ANALYSIS</t>
  </si>
  <si>
    <t>KPI SUMMARY</t>
  </si>
  <si>
    <t>Count</t>
  </si>
  <si>
    <t>Total Revenue</t>
  </si>
  <si>
    <t>1. Revenue by Region</t>
  </si>
  <si>
    <t>Total Orders</t>
  </si>
  <si>
    <t>Order Count</t>
  </si>
  <si>
    <t>% of Total</t>
  </si>
  <si>
    <t>Avg Order Value</t>
  </si>
  <si>
    <t>Highest Single Order</t>
  </si>
  <si>
    <t>Lowest Single Order</t>
  </si>
  <si>
    <t>Delivered Orders</t>
  </si>
  <si>
    <t>Pending Orders</t>
  </si>
  <si>
    <t>TOTAL</t>
  </si>
  <si>
    <t>Cancelled Orders</t>
  </si>
  <si>
    <t>Delivery Rate %</t>
  </si>
  <si>
    <t>2. Orders &amp; Revenue by Category</t>
  </si>
  <si>
    <t>3. Revenue by Month</t>
  </si>
  <si>
    <t>4. Top 5 Orders by Revenue</t>
  </si>
  <si>
    <t>Rank</t>
  </si>
  <si>
    <t>5. Customer Analysis</t>
  </si>
  <si>
    <t>6. Overall KPI Summary</t>
  </si>
  <si>
    <t>Sum of Revenue</t>
  </si>
  <si>
    <t>Grand Total</t>
  </si>
  <si>
    <t>(All)</t>
  </si>
  <si>
    <t>Apr-2026</t>
  </si>
  <si>
    <t>Feb-2026</t>
  </si>
  <si>
    <t>Jun-2026</t>
  </si>
  <si>
    <t>Mar-2026</t>
  </si>
  <si>
    <t>May-2026</t>
  </si>
  <si>
    <t>Count of Order ID</t>
  </si>
  <si>
    <t>Unknown</t>
  </si>
  <si>
    <t xml:space="preserve">🛒 E-Commerce Sales Performance Dashboard — 2026 </t>
  </si>
  <si>
    <t>Data Period: Jan 2026 – Jun 2026 | Total Orders: 27 | Last Updated: Jun 2026</t>
  </si>
  <si>
    <t>TOTAL REVENUE</t>
  </si>
  <si>
    <t>TOTAL ORDERS</t>
  </si>
  <si>
    <t>AVG ORDER VALUE</t>
  </si>
  <si>
    <t>DELIVERY RATE</t>
  </si>
  <si>
    <t>All Regions Combined</t>
  </si>
  <si>
    <t>Jan – Jun 2026</t>
  </si>
  <si>
    <t>Per Transaction</t>
  </si>
  <si>
    <t xml:space="preserve">Orders Delivered Successfully </t>
  </si>
  <si>
    <t>Data Source: Simulated E-Commerce Sales Data 2026</t>
  </si>
  <si>
    <t>Raw Records: 30 orders (1 duplicate removed)</t>
  </si>
  <si>
    <t>Clean Records: 29 orders across 4 regions</t>
  </si>
  <si>
    <t>Products: 5 categories</t>
  </si>
  <si>
    <t>Customers: 10 unique customers</t>
  </si>
  <si>
    <t>Built with: Excel Online + Power BI Desktop</t>
  </si>
  <si>
    <t>Created by: [Swathi 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</si>
</sst>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₹-4009]\ #,##0"/>
    <numFmt numFmtId="165" formatCode="[$-409]d\-mmm\-yy;@"/>
    <numFmt numFmtId="166" formatCode="dd\-mm\-yyyy"/>
    <numFmt numFmtId="167" formatCode="mmm\-yyyy"/>
    <numFmt numFmtId="168" formatCode="0.0"/>
    <numFmt numFmtId="169" formatCode="0.0%"/>
  </numFmts>
  <fonts count="1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8" tint="-0.499984740745262"/>
      <name val="Calibri"/>
      <family val="2"/>
      <scheme val="minor"/>
    </font>
    <font>
      <sz val="10"/>
      <color theme="2" tint="-0.89999084444715716"/>
      <name val="Calibri"/>
      <family val="2"/>
      <scheme val="minor"/>
    </font>
    <font>
      <b/>
      <sz val="9"/>
      <color theme="2" tint="-0.499984740745262"/>
      <name val="Calibri"/>
      <family val="2"/>
      <scheme val="minor"/>
    </font>
    <font>
      <b/>
      <sz val="20"/>
      <color theme="9" tint="-0.249977111117893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i/>
      <sz val="9"/>
      <color theme="2" tint="-0.499984740745262"/>
      <name val="Calibri"/>
    </font>
    <font>
      <b/>
      <sz val="20"/>
      <color rgb="FFFF0000"/>
      <name val="Calibri"/>
      <family val="2"/>
      <scheme val="minor"/>
    </font>
    <font>
      <b/>
      <sz val="20"/>
      <color rgb="FF00B0F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2" borderId="0" xfId="0" applyFont="1" applyFill="1"/>
    <xf numFmtId="14" fontId="0" fillId="0" borderId="0" xfId="0" applyNumberFormat="1"/>
    <xf numFmtId="0" fontId="1" fillId="3" borderId="0" xfId="0" applyFont="1" applyFill="1"/>
    <xf numFmtId="0" fontId="1" fillId="4" borderId="0" xfId="0" applyFont="1" applyFill="1"/>
    <xf numFmtId="0" fontId="0" fillId="0" borderId="0" xfId="0" applyAlignment="1">
      <alignment wrapText="1"/>
    </xf>
    <xf numFmtId="1" fontId="0" fillId="0" borderId="0" xfId="0" applyNumberFormat="1"/>
    <xf numFmtId="0" fontId="0" fillId="0" borderId="0" xfId="0" applyNumberFormat="1"/>
    <xf numFmtId="0" fontId="1" fillId="5" borderId="0" xfId="0" applyFont="1" applyFill="1" applyAlignment="1">
      <alignment horizontal="center"/>
    </xf>
    <xf numFmtId="164" fontId="1" fillId="5" borderId="0" xfId="0" applyNumberFormat="1" applyFont="1" applyFill="1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wrapText="1"/>
    </xf>
    <xf numFmtId="0" fontId="2" fillId="0" borderId="0" xfId="0" applyFont="1"/>
    <xf numFmtId="0" fontId="1" fillId="5" borderId="1" xfId="0" applyFont="1" applyFill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1" xfId="0" applyBorder="1"/>
    <xf numFmtId="0" fontId="0" fillId="0" borderId="3" xfId="0" applyBorder="1" applyAlignment="1">
      <alignment wrapText="1"/>
    </xf>
    <xf numFmtId="0" fontId="2" fillId="6" borderId="1" xfId="0" applyFont="1" applyFill="1" applyBorder="1"/>
    <xf numFmtId="0" fontId="0" fillId="0" borderId="3" xfId="0" applyBorder="1"/>
    <xf numFmtId="0" fontId="3" fillId="0" borderId="0" xfId="0" applyFont="1"/>
    <xf numFmtId="0" fontId="2" fillId="7" borderId="0" xfId="0" applyFont="1" applyFill="1"/>
    <xf numFmtId="164" fontId="2" fillId="0" borderId="0" xfId="0" applyNumberFormat="1" applyFont="1"/>
    <xf numFmtId="17" fontId="0" fillId="0" borderId="0" xfId="0" applyNumberFormat="1"/>
    <xf numFmtId="165" fontId="1" fillId="5" borderId="0" xfId="0" applyNumberFormat="1" applyFont="1" applyFill="1" applyAlignment="1">
      <alignment horizontal="center"/>
    </xf>
    <xf numFmtId="165" fontId="0" fillId="0" borderId="0" xfId="0" applyNumberFormat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8" borderId="4" xfId="0" applyFont="1" applyFill="1" applyBorder="1"/>
    <xf numFmtId="0" fontId="0" fillId="8" borderId="5" xfId="0" applyFont="1" applyFill="1" applyBorder="1"/>
    <xf numFmtId="14" fontId="0" fillId="8" borderId="5" xfId="0" applyNumberFormat="1" applyFont="1" applyFill="1" applyBorder="1"/>
    <xf numFmtId="9" fontId="0" fillId="8" borderId="5" xfId="0" applyNumberFormat="1" applyFont="1" applyFill="1" applyBorder="1"/>
    <xf numFmtId="0" fontId="0" fillId="8" borderId="6" xfId="0" applyFont="1" applyFill="1" applyBorder="1"/>
    <xf numFmtId="0" fontId="0" fillId="0" borderId="4" xfId="0" applyFont="1" applyBorder="1"/>
    <xf numFmtId="0" fontId="0" fillId="0" borderId="5" xfId="0" applyFont="1" applyBorder="1"/>
    <xf numFmtId="14" fontId="0" fillId="0" borderId="5" xfId="0" applyNumberFormat="1" applyFont="1" applyBorder="1"/>
    <xf numFmtId="9" fontId="0" fillId="0" borderId="5" xfId="0" applyNumberFormat="1" applyFont="1" applyBorder="1"/>
    <xf numFmtId="0" fontId="0" fillId="0" borderId="6" xfId="0" applyFont="1" applyBorder="1"/>
    <xf numFmtId="0" fontId="0" fillId="0" borderId="7" xfId="0" applyFont="1" applyBorder="1"/>
    <xf numFmtId="0" fontId="0" fillId="0" borderId="8" xfId="0" applyFont="1" applyBorder="1"/>
    <xf numFmtId="14" fontId="0" fillId="0" borderId="8" xfId="0" applyNumberFormat="1" applyFont="1" applyBorder="1"/>
    <xf numFmtId="9" fontId="0" fillId="0" borderId="8" xfId="0" applyNumberFormat="1" applyFont="1" applyBorder="1"/>
    <xf numFmtId="0" fontId="0" fillId="0" borderId="9" xfId="0" applyFont="1" applyBorder="1"/>
    <xf numFmtId="0" fontId="1" fillId="3" borderId="4" xfId="0" applyFont="1" applyFill="1" applyBorder="1"/>
    <xf numFmtId="0" fontId="1" fillId="3" borderId="5" xfId="0" applyFont="1" applyFill="1" applyBorder="1"/>
    <xf numFmtId="0" fontId="1" fillId="3" borderId="6" xfId="0" applyFont="1" applyFill="1" applyBorder="1"/>
    <xf numFmtId="9" fontId="0" fillId="8" borderId="6" xfId="0" applyNumberFormat="1" applyFont="1" applyFill="1" applyBorder="1"/>
    <xf numFmtId="9" fontId="0" fillId="0" borderId="6" xfId="0" applyNumberFormat="1" applyFont="1" applyBorder="1"/>
    <xf numFmtId="0" fontId="0" fillId="8" borderId="7" xfId="0" applyFont="1" applyFill="1" applyBorder="1"/>
    <xf numFmtId="0" fontId="0" fillId="8" borderId="8" xfId="0" applyFont="1" applyFill="1" applyBorder="1"/>
    <xf numFmtId="9" fontId="0" fillId="8" borderId="9" xfId="0" applyNumberFormat="1" applyFont="1" applyFill="1" applyBorder="1"/>
    <xf numFmtId="0" fontId="1" fillId="4" borderId="4" xfId="0" applyFont="1" applyFill="1" applyBorder="1"/>
    <xf numFmtId="0" fontId="1" fillId="4" borderId="5" xfId="0" applyFont="1" applyFill="1" applyBorder="1"/>
    <xf numFmtId="0" fontId="1" fillId="4" borderId="6" xfId="0" applyFont="1" applyFill="1" applyBorder="1"/>
    <xf numFmtId="166" fontId="0" fillId="0" borderId="0" xfId="0" applyNumberFormat="1" applyAlignment="1">
      <alignment wrapText="1"/>
    </xf>
    <xf numFmtId="167" fontId="1" fillId="5" borderId="0" xfId="0" applyNumberFormat="1" applyFont="1" applyFill="1" applyAlignment="1">
      <alignment horizontal="center"/>
    </xf>
    <xf numFmtId="167" fontId="0" fillId="0" borderId="0" xfId="0" applyNumberFormat="1"/>
    <xf numFmtId="0" fontId="4" fillId="2" borderId="0" xfId="0" applyFont="1" applyFill="1"/>
    <xf numFmtId="168" fontId="0" fillId="0" borderId="0" xfId="0" applyNumberFormat="1"/>
    <xf numFmtId="169" fontId="0" fillId="0" borderId="0" xfId="0" applyNumberFormat="1"/>
    <xf numFmtId="0" fontId="0" fillId="0" borderId="0" xfId="0" pivotButton="1"/>
    <xf numFmtId="0" fontId="0" fillId="9" borderId="0" xfId="0" applyFill="1"/>
    <xf numFmtId="0" fontId="5" fillId="9" borderId="0" xfId="0" applyFont="1" applyFill="1" applyAlignment="1">
      <alignment horizontal="center"/>
    </xf>
    <xf numFmtId="0" fontId="0" fillId="9" borderId="0" xfId="0" applyFill="1" applyAlignment="1">
      <alignment wrapText="1"/>
    </xf>
    <xf numFmtId="0" fontId="6" fillId="0" borderId="0" xfId="0" applyFont="1" applyAlignment="1"/>
    <xf numFmtId="0" fontId="0" fillId="0" borderId="0" xfId="0" applyAlignment="1"/>
    <xf numFmtId="0" fontId="7" fillId="10" borderId="10" xfId="0" applyFont="1" applyFill="1" applyBorder="1" applyAlignment="1">
      <alignment horizontal="center"/>
    </xf>
    <xf numFmtId="164" fontId="8" fillId="10" borderId="11" xfId="0" applyNumberFormat="1" applyFont="1" applyFill="1" applyBorder="1" applyAlignment="1">
      <alignment horizontal="center"/>
    </xf>
    <xf numFmtId="0" fontId="0" fillId="10" borderId="12" xfId="0" applyFill="1" applyBorder="1" applyAlignment="1">
      <alignment horizontal="center"/>
    </xf>
    <xf numFmtId="0" fontId="7" fillId="12" borderId="10" xfId="0" applyFont="1" applyFill="1" applyBorder="1" applyAlignment="1">
      <alignment horizontal="center"/>
    </xf>
    <xf numFmtId="0" fontId="8" fillId="12" borderId="11" xfId="0" applyFont="1" applyFill="1" applyBorder="1" applyAlignment="1">
      <alignment horizontal="center"/>
    </xf>
    <xf numFmtId="0" fontId="7" fillId="12" borderId="12" xfId="0" applyFont="1" applyFill="1" applyBorder="1" applyAlignment="1">
      <alignment horizontal="center"/>
    </xf>
    <xf numFmtId="0" fontId="7" fillId="11" borderId="1" xfId="0" applyFont="1" applyFill="1" applyBorder="1" applyAlignment="1">
      <alignment horizontal="center"/>
    </xf>
    <xf numFmtId="0" fontId="7" fillId="11" borderId="3" xfId="0" applyFont="1" applyFill="1" applyBorder="1" applyAlignment="1">
      <alignment horizontal="center"/>
    </xf>
    <xf numFmtId="0" fontId="7" fillId="13" borderId="10" xfId="0" applyFont="1" applyFill="1" applyBorder="1" applyAlignment="1">
      <alignment horizontal="center"/>
    </xf>
    <xf numFmtId="0" fontId="7" fillId="13" borderId="12" xfId="0" applyFont="1" applyFill="1" applyBorder="1" applyAlignment="1">
      <alignment horizontal="center"/>
    </xf>
    <xf numFmtId="0" fontId="0" fillId="9" borderId="13" xfId="0" applyFill="1" applyBorder="1"/>
    <xf numFmtId="0" fontId="9" fillId="14" borderId="1" xfId="0" applyFont="1" applyFill="1" applyBorder="1" applyAlignment="1">
      <alignment wrapText="1"/>
    </xf>
    <xf numFmtId="0" fontId="9" fillId="14" borderId="2" xfId="0" applyFont="1" applyFill="1" applyBorder="1" applyAlignment="1">
      <alignment wrapText="1"/>
    </xf>
    <xf numFmtId="0" fontId="9" fillId="14" borderId="2" xfId="0" applyFont="1" applyFill="1" applyBorder="1"/>
    <xf numFmtId="0" fontId="9" fillId="14" borderId="3" xfId="0" applyFont="1" applyFill="1" applyBorder="1" applyAlignment="1">
      <alignment wrapText="1"/>
    </xf>
    <xf numFmtId="0" fontId="10" fillId="0" borderId="0" xfId="0" applyFont="1"/>
    <xf numFmtId="164" fontId="11" fillId="13" borderId="11" xfId="0" applyNumberFormat="1" applyFont="1" applyFill="1" applyBorder="1" applyAlignment="1">
      <alignment horizontal="center"/>
    </xf>
    <xf numFmtId="0" fontId="12" fillId="11" borderId="2" xfId="0" applyFont="1" applyFill="1" applyBorder="1" applyAlignment="1">
      <alignment horizontal="center"/>
    </xf>
  </cellXfs>
  <cellStyles count="1">
    <cellStyle name="Normal" xfId="0" builtinId="0"/>
  </cellStyles>
  <dxfs count="4"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microsoft.com/office/2007/relationships/slicerCache" Target="slicerCaches/slicerCache2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Region</a:t>
            </a:r>
          </a:p>
        </c:rich>
      </c:tx>
      <c:overlay val="0"/>
      <c:spPr>
        <a:solidFill>
          <a:srgbClr val="A9D08E"/>
        </a:solidFill>
        <a:ln>
          <a:solidFill>
            <a:srgbClr val="A9D08E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Analysis!$B$3:$B$4</c:f>
              <c:strCache>
                <c:ptCount val="2"/>
                <c:pt idx="0">
                  <c:v>1. Revenue by Region</c:v>
                </c:pt>
                <c:pt idx="1">
                  <c:v>Total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Analysis!$A$5:$A$9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TOTAL</c:v>
                </c:pt>
              </c:strCache>
            </c:strRef>
          </c:cat>
          <c:val>
            <c:numRef>
              <c:f>Analysis!$B$5:$B$9</c:f>
              <c:numCache>
                <c:formatCode>[$₹-4009]\ #,##0</c:formatCode>
                <c:ptCount val="5"/>
                <c:pt idx="0">
                  <c:v>135170.75</c:v>
                </c:pt>
                <c:pt idx="1">
                  <c:v>162472.4</c:v>
                </c:pt>
                <c:pt idx="2">
                  <c:v>70358.100000000006</c:v>
                </c:pt>
                <c:pt idx="3">
                  <c:v>23695</c:v>
                </c:pt>
                <c:pt idx="4">
                  <c:v>391696.25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CF-46D2-AF5C-6008E12193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0862087"/>
        <c:axId val="970865159"/>
      </c:barChart>
      <c:catAx>
        <c:axId val="970862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0865159"/>
        <c:crosses val="autoZero"/>
        <c:auto val="1"/>
        <c:lblAlgn val="ctr"/>
        <c:lblOffset val="100"/>
        <c:noMultiLvlLbl val="0"/>
      </c:catAx>
      <c:valAx>
        <c:axId val="970865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009]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0862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2F2F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 Trend</a:t>
            </a:r>
          </a:p>
        </c:rich>
      </c:tx>
      <c:overlay val="0"/>
      <c:spPr>
        <a:solidFill>
          <a:srgbClr val="A9D08E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Analysis!$B$21</c:f>
              <c:strCache>
                <c:ptCount val="1"/>
                <c:pt idx="0">
                  <c:v>Total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Analysis!$A$22:$A$27</c:f>
              <c:strCache>
                <c:ptCount val="6"/>
                <c:pt idx="0">
                  <c:v>Jan-2026</c:v>
                </c:pt>
                <c:pt idx="1">
                  <c:v>Feb-2026</c:v>
                </c:pt>
                <c:pt idx="2">
                  <c:v>Mar-2026</c:v>
                </c:pt>
                <c:pt idx="3">
                  <c:v>Apr-2026</c:v>
                </c:pt>
                <c:pt idx="4">
                  <c:v>May-2026</c:v>
                </c:pt>
                <c:pt idx="5">
                  <c:v>Jun-2026</c:v>
                </c:pt>
              </c:strCache>
            </c:strRef>
          </c:cat>
          <c:val>
            <c:numRef>
              <c:f>Analysis!$B$22:$B$27</c:f>
              <c:numCache>
                <c:formatCode>General</c:formatCode>
                <c:ptCount val="6"/>
                <c:pt idx="0">
                  <c:v>101277.15</c:v>
                </c:pt>
                <c:pt idx="1">
                  <c:v>7970.25</c:v>
                </c:pt>
                <c:pt idx="2">
                  <c:v>55520</c:v>
                </c:pt>
                <c:pt idx="3">
                  <c:v>69786</c:v>
                </c:pt>
                <c:pt idx="4">
                  <c:v>65804.600000000006</c:v>
                </c:pt>
                <c:pt idx="5">
                  <c:v>91338.25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3C-46AD-B7F5-AF37636845BC}"/>
            </c:ext>
          </c:extLst>
        </c:ser>
        <c:ser>
          <c:idx val="1"/>
          <c:order val="1"/>
          <c:tx>
            <c:strRef>
              <c:f>Analysis!$C$21</c:f>
              <c:strCache>
                <c:ptCount val="1"/>
                <c:pt idx="0">
                  <c:v>Order Count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Analysis!$A$22:$A$27</c:f>
              <c:strCache>
                <c:ptCount val="6"/>
                <c:pt idx="0">
                  <c:v>Jan-2026</c:v>
                </c:pt>
                <c:pt idx="1">
                  <c:v>Feb-2026</c:v>
                </c:pt>
                <c:pt idx="2">
                  <c:v>Mar-2026</c:v>
                </c:pt>
                <c:pt idx="3">
                  <c:v>Apr-2026</c:v>
                </c:pt>
                <c:pt idx="4">
                  <c:v>May-2026</c:v>
                </c:pt>
                <c:pt idx="5">
                  <c:v>Jun-2026</c:v>
                </c:pt>
              </c:strCache>
            </c:strRef>
          </c:cat>
          <c:val>
            <c:numRef>
              <c:f>Analysis!$C$22:$C$27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5</c:v>
                </c:pt>
                <c:pt idx="4">
                  <c:v>4</c:v>
                </c:pt>
                <c:pt idx="5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3C-46AD-B7F5-AF37636845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3957639"/>
        <c:axId val="893959687"/>
      </c:lineChart>
      <c:catAx>
        <c:axId val="893957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rgbClr val="FFFFFF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3959687"/>
        <c:crosses val="autoZero"/>
        <c:auto val="1"/>
        <c:lblAlgn val="ctr"/>
        <c:lblOffset val="100"/>
        <c:noMultiLvlLbl val="0"/>
      </c:catAx>
      <c:valAx>
        <c:axId val="893959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3957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2F2F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Category</a:t>
            </a:r>
          </a:p>
        </c:rich>
      </c:tx>
      <c:overlay val="0"/>
      <c:spPr>
        <a:solidFill>
          <a:srgbClr val="A9D08E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Analysis!$B$12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Analysis!$A$13:$A$17</c:f>
              <c:strCache>
                <c:ptCount val="5"/>
                <c:pt idx="0">
                  <c:v>Electronics</c:v>
                </c:pt>
                <c:pt idx="1">
                  <c:v>Fashion</c:v>
                </c:pt>
                <c:pt idx="2">
                  <c:v>Beauty</c:v>
                </c:pt>
                <c:pt idx="3">
                  <c:v>Sports</c:v>
                </c:pt>
                <c:pt idx="4">
                  <c:v>Kitchen</c:v>
                </c:pt>
              </c:strCache>
            </c:strRef>
          </c:cat>
          <c:val>
            <c:numRef>
              <c:f>Analysis!$B$13:$B$17</c:f>
              <c:numCache>
                <c:formatCode>General</c:formatCode>
                <c:ptCount val="5"/>
                <c:pt idx="0">
                  <c:v>305250</c:v>
                </c:pt>
                <c:pt idx="1">
                  <c:v>17378.25</c:v>
                </c:pt>
                <c:pt idx="2">
                  <c:v>13740</c:v>
                </c:pt>
                <c:pt idx="3">
                  <c:v>34440</c:v>
                </c:pt>
                <c:pt idx="4">
                  <c:v>20888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3A-4286-B789-568C970A8CCC}"/>
            </c:ext>
          </c:extLst>
        </c:ser>
        <c:ser>
          <c:idx val="1"/>
          <c:order val="1"/>
          <c:tx>
            <c:strRef>
              <c:f>Analysis!$C$12</c:f>
              <c:strCache>
                <c:ptCount val="1"/>
                <c:pt idx="0">
                  <c:v>Order 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Analysis!$A$13:$A$17</c:f>
              <c:strCache>
                <c:ptCount val="5"/>
                <c:pt idx="0">
                  <c:v>Electronics</c:v>
                </c:pt>
                <c:pt idx="1">
                  <c:v>Fashion</c:v>
                </c:pt>
                <c:pt idx="2">
                  <c:v>Beauty</c:v>
                </c:pt>
                <c:pt idx="3">
                  <c:v>Sports</c:v>
                </c:pt>
                <c:pt idx="4">
                  <c:v>Kitchen</c:v>
                </c:pt>
              </c:strCache>
            </c:strRef>
          </c:cat>
          <c:val>
            <c:numRef>
              <c:f>Analysis!$C$13:$C$17</c:f>
              <c:numCache>
                <c:formatCode>General</c:formatCode>
                <c:ptCount val="5"/>
                <c:pt idx="0">
                  <c:v>6</c:v>
                </c:pt>
                <c:pt idx="1">
                  <c:v>6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3A-4286-B789-568C970A8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59293448"/>
        <c:axId val="359295496"/>
      </c:barChart>
      <c:catAx>
        <c:axId val="359293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95496"/>
        <c:crosses val="autoZero"/>
        <c:auto val="1"/>
        <c:lblAlgn val="ctr"/>
        <c:lblOffset val="100"/>
        <c:noMultiLvlLbl val="0"/>
      </c:catAx>
      <c:valAx>
        <c:axId val="359295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93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2F2F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 Status Distribution</a:t>
            </a:r>
          </a:p>
        </c:rich>
      </c:tx>
      <c:overlay val="0"/>
      <c:spPr>
        <a:solidFill>
          <a:srgbClr val="A9D08E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Analysis!$I$1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6DA-449F-8AE3-FAB8ED0B2F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6DA-449F-8AE3-FAB8ED0B2F4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6DA-449F-8AE3-FAB8ED0B2F43}"/>
              </c:ext>
            </c:extLst>
          </c:dPt>
          <c:cat>
            <c:strRef>
              <c:f>Analysis!$H$2:$H$4</c:f>
              <c:strCache>
                <c:ptCount val="3"/>
                <c:pt idx="0">
                  <c:v>Delivered</c:v>
                </c:pt>
                <c:pt idx="1">
                  <c:v>Pending</c:v>
                </c:pt>
                <c:pt idx="2">
                  <c:v>Cancelled</c:v>
                </c:pt>
              </c:strCache>
            </c:strRef>
          </c:cat>
          <c:val>
            <c:numRef>
              <c:f>Analysis!$I$2:$I$4</c:f>
              <c:numCache>
                <c:formatCode>General</c:formatCode>
                <c:ptCount val="3"/>
                <c:pt idx="0">
                  <c:v>21</c:v>
                </c:pt>
                <c:pt idx="1">
                  <c:v>6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6DA-449F-8AE3-FAB8ED0B2F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2F2F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85725</xdr:colOff>
      <xdr:row>0</xdr:row>
      <xdr:rowOff>0</xdr:rowOff>
    </xdr:from>
    <xdr:to>
      <xdr:col>10</xdr:col>
      <xdr:colOff>85725</xdr:colOff>
      <xdr:row>8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ategory">
              <a:extLst>
                <a:ext uri="{FF2B5EF4-FFF2-40B4-BE49-F238E27FC236}">
                  <a16:creationId xmlns:a16="http://schemas.microsoft.com/office/drawing/2014/main" id="{20AEFDFE-E63E-B620-900C-E1E459EB5CA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24475" y="381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6</xdr:col>
      <xdr:colOff>752475</xdr:colOff>
      <xdr:row>8</xdr:row>
      <xdr:rowOff>180975</xdr:rowOff>
    </xdr:from>
    <xdr:to>
      <xdr:col>9</xdr:col>
      <xdr:colOff>600075</xdr:colOff>
      <xdr:row>16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Region">
              <a:extLst>
                <a:ext uri="{FF2B5EF4-FFF2-40B4-BE49-F238E27FC236}">
                  <a16:creationId xmlns:a16="http://schemas.microsoft.com/office/drawing/2014/main" id="{9AD03868-05F3-6B78-7F6A-F66B8548E6BE}"/>
                </a:ext>
                <a:ext uri="{147F2762-F138-4A5C-976F-8EAC2B608ADB}">
                  <a16:predDERef xmlns:a16="http://schemas.microsoft.com/office/drawing/2014/main" pred="{20AEFDFE-E63E-B620-900C-E1E459EB5CA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81875" y="381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7</xdr:col>
      <xdr:colOff>9525</xdr:colOff>
      <xdr:row>16</xdr:row>
      <xdr:rowOff>114300</xdr:rowOff>
    </xdr:from>
    <xdr:to>
      <xdr:col>10</xdr:col>
      <xdr:colOff>9525</xdr:colOff>
      <xdr:row>23</xdr:row>
      <xdr:rowOff>171450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tatus">
              <a:extLst>
                <a:ext uri="{FF2B5EF4-FFF2-40B4-BE49-F238E27FC236}">
                  <a16:creationId xmlns:a16="http://schemas.microsoft.com/office/drawing/2014/main" id="{7CD76EF6-8569-6203-4995-52A210CB5CCD}"/>
                </a:ext>
                <a:ext uri="{147F2762-F138-4A5C-976F-8EAC2B608ADB}">
                  <a16:predDERef xmlns:a16="http://schemas.microsoft.com/office/drawing/2014/main" pred="{9AD03868-05F3-6B78-7F6A-F66B8548E6B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10700" y="190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76200</xdr:rowOff>
    </xdr:from>
    <xdr:to>
      <xdr:col>1</xdr:col>
      <xdr:colOff>619125</xdr:colOff>
      <xdr:row>21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48055E-3363-A6F4-9EDC-9771A988F220}"/>
            </a:ext>
            <a:ext uri="{147F2762-F138-4A5C-976F-8EAC2B608ADB}">
              <a16:predDERef xmlns:a16="http://schemas.microsoft.com/office/drawing/2014/main" pred="{B2136EE6-0B57-4A59-AF97-00A364DE51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676275</xdr:colOff>
      <xdr:row>8</xdr:row>
      <xdr:rowOff>66675</xdr:rowOff>
    </xdr:from>
    <xdr:to>
      <xdr:col>2</xdr:col>
      <xdr:colOff>1476375</xdr:colOff>
      <xdr:row>21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1FA5B95-8F37-E3FB-F114-9B8B89BE45DA}"/>
            </a:ext>
            <a:ext uri="{147F2762-F138-4A5C-976F-8EAC2B608ADB}">
              <a16:predDERef xmlns:a16="http://schemas.microsoft.com/office/drawing/2014/main" pred="{8848055E-3363-A6F4-9EDC-9771A988F2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21</xdr:row>
      <xdr:rowOff>95250</xdr:rowOff>
    </xdr:from>
    <xdr:to>
      <xdr:col>1</xdr:col>
      <xdr:colOff>1685925</xdr:colOff>
      <xdr:row>29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B8CA72A-5DFD-3FD9-A267-55FB6D3904E2}"/>
            </a:ext>
            <a:ext uri="{147F2762-F138-4A5C-976F-8EAC2B608ADB}">
              <a16:predDERef xmlns:a16="http://schemas.microsoft.com/office/drawing/2014/main" pred="{A1FA5B95-8F37-E3FB-F114-9B8B89BE45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1533525</xdr:colOff>
      <xdr:row>8</xdr:row>
      <xdr:rowOff>57150</xdr:rowOff>
    </xdr:from>
    <xdr:to>
      <xdr:col>4</xdr:col>
      <xdr:colOff>0</xdr:colOff>
      <xdr:row>21</xdr:row>
      <xdr:rowOff>28575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69FDCFA-4D9A-DE1C-0FAD-1031644F76DA}"/>
            </a:ext>
            <a:ext uri="{147F2762-F138-4A5C-976F-8EAC2B608ADB}">
              <a16:predDERef xmlns:a16="http://schemas.microsoft.com/office/drawing/2014/main" pred="{0B8CA72A-5DFD-3FD9-A267-55FB6D3904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96.667719675926" createdVersion="8" refreshedVersion="8" minRefreshableVersion="3" recordCount="29" xr:uid="{83F12D06-F700-4D76-8BC2-2D6D692FA73A}">
  <cacheSource type="worksheet">
    <worksheetSource ref="A1:T30" sheet="Cleaned"/>
  </cacheSource>
  <cacheFields count="20">
    <cacheField name="Order ID" numFmtId="0">
      <sharedItems/>
    </cacheField>
    <cacheField name="Customer ID" numFmtId="0">
      <sharedItems/>
    </cacheField>
    <cacheField name="Customer Name" numFmtId="0">
      <sharedItems count="10">
        <s v="Priya Sharma"/>
        <s v="Arjun Nair"/>
        <s v="Sneha Reddy"/>
        <s v="Rahul Das"/>
        <s v="Divya Krishna"/>
        <s v="Meera Nair"/>
        <s v="Kiran Rao"/>
        <s v="Pooja Singh"/>
        <s v="Arun Kumar"/>
        <s v="Vijay Kumar"/>
      </sharedItems>
    </cacheField>
    <cacheField name="City" numFmtId="0">
      <sharedItems/>
    </cacheField>
    <cacheField name="State" numFmtId="0">
      <sharedItems/>
    </cacheField>
    <cacheField name="Customer Type" numFmtId="0">
      <sharedItems/>
    </cacheField>
    <cacheField name="Product ID" numFmtId="0">
      <sharedItems/>
    </cacheField>
    <cacheField name="Product Name" numFmtId="0">
      <sharedItems/>
    </cacheField>
    <cacheField name="Category" numFmtId="0">
      <sharedItems count="5">
        <s v="Electronics"/>
        <s v="Fashion"/>
        <s v="Beauty"/>
        <s v="Sports"/>
        <s v="Kitchen"/>
      </sharedItems>
    </cacheField>
    <cacheField name="Region" numFmtId="0">
      <sharedItems count="4">
        <s v="North"/>
        <s v="South"/>
        <s v="East"/>
        <s v="West"/>
      </sharedItems>
    </cacheField>
    <cacheField name="Order Date" numFmtId="166">
      <sharedItems containsDate="1" containsMixedTypes="1" minDate="2026-01-05T00:00:00" maxDate="2026-06-13T00:00:00"/>
    </cacheField>
    <cacheField name="Delivery Date" numFmtId="166">
      <sharedItems containsDate="1" containsMixedTypes="1" minDate="2026-01-10T00:00:00" maxDate="2026-12-06T00:00:00"/>
    </cacheField>
    <cacheField name="Delivery Days" numFmtId="1">
      <sharedItems containsSemiMixedTypes="0" containsString="0" containsNumber="1" containsInteger="1" minValue="5" maxValue="7"/>
    </cacheField>
    <cacheField name="Quantity" numFmtId="0">
      <sharedItems containsSemiMixedTypes="0" containsString="0" containsNumber="1" containsInteger="1" minValue="1" maxValue="6"/>
    </cacheField>
    <cacheField name="Unit Price" numFmtId="164">
      <sharedItems containsSemiMixedTypes="0" containsString="0" containsNumber="1" containsInteger="1" minValue="0" maxValue="55000"/>
    </cacheField>
    <cacheField name="Discount %" numFmtId="0">
      <sharedItems containsSemiMixedTypes="0" containsString="0" containsNumber="1" containsInteger="1" minValue="0" maxValue="15"/>
    </cacheField>
    <cacheField name="Revenue" numFmtId="164">
      <sharedItems containsSemiMixedTypes="0" containsString="0" containsNumber="1" minValue="0" maxValue="99000"/>
    </cacheField>
    <cacheField name="Status" numFmtId="0">
      <sharedItems count="4">
        <s v="Delivered"/>
        <s v="Pending"/>
        <s v="Cancelled"/>
        <s v="Unknown"/>
      </sharedItems>
    </cacheField>
    <cacheField name="Data Flag" numFmtId="0">
      <sharedItems/>
    </cacheField>
    <cacheField name="Month" numFmtId="167">
      <sharedItems containsDate="1" containsMixedTypes="1" minDate="2026-02-01T00:00:00" maxDate="2026-06-02T00:00:00" count="11">
        <s v="Jan-2026"/>
        <s v="Feb-2026"/>
        <d v="2026-02-01T00:00:00"/>
        <s v="Mar-2026"/>
        <d v="2026-03-01T00:00:00"/>
        <s v="Apr-2026"/>
        <d v="2026-04-01T00:00:00"/>
        <s v="May-2026"/>
        <d v="2026-05-01T00:00:00"/>
        <s v="Jun-2026"/>
        <d v="2026-06-01T00:00:00"/>
      </sharedItems>
    </cacheField>
  </cacheFields>
  <extLst>
    <ext xmlns:x14="http://schemas.microsoft.com/office/spreadsheetml/2009/9/main" uri="{725AE2AE-9491-48be-B2B4-4EB974FC3084}">
      <x14:pivotCacheDefinition pivotCacheId="15312182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s v="ORD001"/>
    <s v="C001"/>
    <x v="0"/>
    <s v="Bangalore"/>
    <s v="Karnataka"/>
    <s v="Premium"/>
    <s v="P003"/>
    <s v="Laptop Pro"/>
    <x v="0"/>
    <x v="0"/>
    <d v="2026-01-05T00:00:00"/>
    <d v="2026-01-10T00:00:00"/>
    <n v="5"/>
    <n v="2"/>
    <n v="55000"/>
    <n v="10"/>
    <n v="99000"/>
    <x v="0"/>
    <s v="OK"/>
    <x v="0"/>
  </r>
  <r>
    <s v="ORD002"/>
    <s v="C002"/>
    <x v="1"/>
    <s v="Chennai"/>
    <s v="Tamil Nadu"/>
    <s v="Regular"/>
    <s v="P001"/>
    <s v="Cotton Tshirt"/>
    <x v="1"/>
    <x v="1"/>
    <d v="2026-01-12T00:00:00"/>
    <s v="18-01-2026"/>
    <n v="6"/>
    <n v="3"/>
    <n v="799"/>
    <n v="5"/>
    <n v="2277.15"/>
    <x v="1"/>
    <s v="OK"/>
    <x v="0"/>
  </r>
  <r>
    <s v="ORD003"/>
    <s v="C003"/>
    <x v="2"/>
    <s v="Hyderabad"/>
    <s v="Telangana"/>
    <s v="Regular"/>
    <s v="P002"/>
    <s v="Face Cream"/>
    <x v="2"/>
    <x v="2"/>
    <d v="2026-02-03T00:00:00"/>
    <d v="2026-02-08T00:00:00"/>
    <n v="5"/>
    <n v="1"/>
    <n v="1200"/>
    <n v="0"/>
    <n v="1200"/>
    <x v="0"/>
    <s v="OK"/>
    <x v="1"/>
  </r>
  <r>
    <s v="ORD004"/>
    <s v="C001"/>
    <x v="0"/>
    <s v="Bangalore"/>
    <s v="Karnataka"/>
    <s v="Premium"/>
    <s v="P004"/>
    <s v="Running shoes"/>
    <x v="3"/>
    <x v="0"/>
    <s v="18-02-2026"/>
    <s v="25-02-2026"/>
    <n v="7"/>
    <n v="1"/>
    <n v="3500"/>
    <n v="15"/>
    <n v="2975"/>
    <x v="0"/>
    <s v="OK"/>
    <x v="2"/>
  </r>
  <r>
    <s v="ORD005"/>
    <s v="C004"/>
    <x v="3"/>
    <s v="Kolkata"/>
    <s v="West Bengal"/>
    <s v="Premium"/>
    <s v="P001"/>
    <s v="Cotton Tshirt"/>
    <x v="1"/>
    <x v="1"/>
    <s v="25-02-2026"/>
    <d v="2026-03-03T00:00:00"/>
    <n v="6"/>
    <n v="5"/>
    <n v="799"/>
    <n v="5"/>
    <n v="3795.25"/>
    <x v="2"/>
    <s v="OK"/>
    <x v="2"/>
  </r>
  <r>
    <s v="ORD006"/>
    <s v="C005"/>
    <x v="4"/>
    <s v="Mumbai"/>
    <s v="Maharashtra"/>
    <s v="Regular"/>
    <s v="P005"/>
    <s v="Rice Cooker"/>
    <x v="4"/>
    <x v="2"/>
    <d v="2026-03-07T00:00:00"/>
    <s v="14-03-2026"/>
    <n v="7"/>
    <n v="1"/>
    <n v="2800"/>
    <n v="10"/>
    <n v="2520"/>
    <x v="0"/>
    <s v="OK"/>
    <x v="3"/>
  </r>
  <r>
    <s v="ORD007"/>
    <s v="C002"/>
    <x v="1"/>
    <s v="Chennai"/>
    <s v="Tamil Nadu"/>
    <s v="Regular"/>
    <s v="P003"/>
    <s v="Laptop Pro"/>
    <x v="0"/>
    <x v="1"/>
    <s v="14-03-2026"/>
    <s v="20-03-2026"/>
    <n v="6"/>
    <n v="1"/>
    <n v="55000"/>
    <n v="8"/>
    <n v="50600"/>
    <x v="1"/>
    <s v="OK"/>
    <x v="4"/>
  </r>
  <r>
    <s v="ORD008"/>
    <s v="C006"/>
    <x v="5"/>
    <s v="Kochi"/>
    <s v="Kerala"/>
    <s v="Premium"/>
    <s v="P002"/>
    <s v="Face Cream"/>
    <x v="2"/>
    <x v="0"/>
    <s v="22-03-2026"/>
    <s v="28-03-2026"/>
    <n v="6"/>
    <n v="2"/>
    <n v="1200"/>
    <n v="0"/>
    <n v="2400"/>
    <x v="0"/>
    <s v="OK"/>
    <x v="4"/>
  </r>
  <r>
    <s v="ORD009"/>
    <s v="C003"/>
    <x v="2"/>
    <s v="Hyderabad"/>
    <s v="Telangana"/>
    <s v="Regular"/>
    <s v="P004"/>
    <s v="Running shoes"/>
    <x v="3"/>
    <x v="2"/>
    <d v="2026-04-01T00:00:00"/>
    <d v="2026-04-07T00:00:00"/>
    <n v="6"/>
    <n v="3"/>
    <n v="3500"/>
    <n v="10"/>
    <n v="9450"/>
    <x v="0"/>
    <s v="OK"/>
    <x v="5"/>
  </r>
  <r>
    <s v="ORD010"/>
    <s v="C007"/>
    <x v="6"/>
    <s v="Pune"/>
    <s v="Maharashtra"/>
    <s v="Regular"/>
    <s v="P005"/>
    <s v="Rice Cooker"/>
    <x v="4"/>
    <x v="3"/>
    <d v="2026-04-08T00:00:00"/>
    <s v="15-04-2026"/>
    <n v="7"/>
    <n v="2"/>
    <n v="2800"/>
    <n v="5"/>
    <n v="5320"/>
    <x v="0"/>
    <s v="OK"/>
    <x v="5"/>
  </r>
  <r>
    <s v="ORD011"/>
    <s v="C008"/>
    <x v="7"/>
    <s v="Delhi"/>
    <s v="Delhi"/>
    <s v="Regular"/>
    <s v="P001"/>
    <s v="Cotton Tshirt"/>
    <x v="1"/>
    <x v="0"/>
    <s v="15-04-2026"/>
    <s v="21-04-2026"/>
    <n v="6"/>
    <n v="4"/>
    <n v="799"/>
    <n v="0"/>
    <n v="3196"/>
    <x v="0"/>
    <s v="OK"/>
    <x v="6"/>
  </r>
  <r>
    <s v="ORD012"/>
    <s v="C004"/>
    <x v="3"/>
    <s v="Kolkata"/>
    <s v="West Bengal"/>
    <s v="Premium"/>
    <s v="P003"/>
    <s v="Laptop Pro"/>
    <x v="0"/>
    <x v="1"/>
    <s v="20-04-2026"/>
    <s v="27-04-2026"/>
    <n v="7"/>
    <n v="1"/>
    <n v="55000"/>
    <n v="12"/>
    <n v="48400"/>
    <x v="0"/>
    <s v="OK"/>
    <x v="6"/>
  </r>
  <r>
    <s v="ORD013"/>
    <s v="C009"/>
    <x v="8"/>
    <s v="Ahmedabad"/>
    <s v="Gujarat"/>
    <s v="Premium"/>
    <s v="P002"/>
    <s v="Face Cream"/>
    <x v="2"/>
    <x v="2"/>
    <s v="28-04-2026"/>
    <d v="2026-05-04T00:00:00"/>
    <n v="6"/>
    <n v="3"/>
    <n v="1200"/>
    <n v="5"/>
    <n v="3420"/>
    <x v="1"/>
    <s v="OK"/>
    <x v="6"/>
  </r>
  <r>
    <s v="ORD014"/>
    <s v="C005"/>
    <x v="4"/>
    <s v="Mumbai"/>
    <s v="Maharashtra"/>
    <s v="Regular"/>
    <s v="P005"/>
    <s v="Rice Cooker"/>
    <x v="4"/>
    <x v="3"/>
    <d v="2026-05-05T00:00:00"/>
    <d v="2026-12-05T00:00:00"/>
    <n v="7"/>
    <n v="1"/>
    <n v="2800"/>
    <n v="0"/>
    <n v="2800"/>
    <x v="0"/>
    <s v="OK"/>
    <x v="7"/>
  </r>
  <r>
    <s v="ORD015"/>
    <s v="C010"/>
    <x v="9"/>
    <s v="Jaipur"/>
    <s v="Rajasthan"/>
    <s v="Regular"/>
    <s v="P004"/>
    <s v="Running shoes"/>
    <x v="3"/>
    <x v="0"/>
    <d v="2026-05-12T00:00:00"/>
    <s v="19-05-2026"/>
    <n v="7"/>
    <n v="2"/>
    <n v="3500"/>
    <n v="8"/>
    <n v="6440"/>
    <x v="0"/>
    <s v="OK"/>
    <x v="7"/>
  </r>
  <r>
    <s v="ORD016"/>
    <s v="C001"/>
    <x v="0"/>
    <s v="Bangalore"/>
    <s v="Karnataka"/>
    <s v="Premium"/>
    <s v="P001"/>
    <s v="Cotton Tshirt"/>
    <x v="1"/>
    <x v="0"/>
    <s v="18-05-2026"/>
    <s v="24-05-2026"/>
    <n v="6"/>
    <n v="6"/>
    <n v="799"/>
    <n v="10"/>
    <n v="4314.6000000000004"/>
    <x v="0"/>
    <s v="OK"/>
    <x v="8"/>
  </r>
  <r>
    <s v="ORD017"/>
    <s v="C006"/>
    <x v="5"/>
    <s v="Kochi"/>
    <s v="Kerala"/>
    <s v="Premium"/>
    <s v="P003"/>
    <s v="Laptop Pro"/>
    <x v="0"/>
    <x v="2"/>
    <s v="25-05-2026"/>
    <s v="31-05-2026"/>
    <n v="6"/>
    <n v="1"/>
    <n v="55000"/>
    <n v="5"/>
    <n v="52250"/>
    <x v="0"/>
    <s v="OK"/>
    <x v="8"/>
  </r>
  <r>
    <s v="ORD018"/>
    <s v="C002"/>
    <x v="1"/>
    <s v="Chennai"/>
    <s v="Tamil Nadu"/>
    <s v="Regular"/>
    <s v="P002"/>
    <s v="Face Cream"/>
    <x v="2"/>
    <x v="1"/>
    <d v="2026-06-01T00:00:00"/>
    <d v="2026-06-07T00:00:00"/>
    <n v="6"/>
    <n v="2"/>
    <n v="1200"/>
    <n v="0"/>
    <n v="2400"/>
    <x v="1"/>
    <s v="OK"/>
    <x v="9"/>
  </r>
  <r>
    <s v="ORD019"/>
    <s v="C007"/>
    <x v="6"/>
    <s v="Pune"/>
    <s v="Maharashtra"/>
    <s v="Regular"/>
    <s v="P004"/>
    <s v="Running shoes"/>
    <x v="3"/>
    <x v="3"/>
    <d v="2026-06-05T00:00:00"/>
    <d v="2026-06-12T00:00:00"/>
    <n v="7"/>
    <n v="3"/>
    <n v="3500"/>
    <n v="15"/>
    <n v="8925"/>
    <x v="0"/>
    <s v="OK"/>
    <x v="9"/>
  </r>
  <r>
    <s v="ORD020"/>
    <s v="C008"/>
    <x v="7"/>
    <s v="Delhi"/>
    <s v="Delhi"/>
    <s v="Regular"/>
    <s v="P005"/>
    <s v="Rice Cooker"/>
    <x v="4"/>
    <x v="0"/>
    <d v="2026-06-10T00:00:00"/>
    <s v="17-06-2026"/>
    <n v="7"/>
    <n v="1"/>
    <n v="2800"/>
    <n v="10"/>
    <n v="2520"/>
    <x v="0"/>
    <s v="OK"/>
    <x v="9"/>
  </r>
  <r>
    <s v="ORD021"/>
    <s v="C009"/>
    <x v="8"/>
    <s v="Ahmedabad"/>
    <s v="Gujarat"/>
    <s v="Premium"/>
    <s v="P001"/>
    <s v="Cotton Tshirt"/>
    <x v="1"/>
    <x v="2"/>
    <d v="2026-06-12T00:00:00"/>
    <s v="18-06-2026"/>
    <n v="6"/>
    <n v="2"/>
    <n v="799"/>
    <n v="5"/>
    <n v="1518.1"/>
    <x v="0"/>
    <s v="OK"/>
    <x v="9"/>
  </r>
  <r>
    <s v="ORD022"/>
    <s v="C010"/>
    <x v="9"/>
    <s v="Jaipur"/>
    <s v="Rajasthan"/>
    <s v="Regular"/>
    <s v="P003"/>
    <s v="Laptop Pro"/>
    <x v="0"/>
    <x v="1"/>
    <s v="14-06-2026"/>
    <s v="21-06-2026"/>
    <n v="7"/>
    <n v="1"/>
    <n v="55000"/>
    <n v="0"/>
    <n v="55000"/>
    <x v="1"/>
    <s v="OK"/>
    <x v="10"/>
  </r>
  <r>
    <s v="ORD023"/>
    <s v="C003"/>
    <x v="2"/>
    <s v="Hyderabad"/>
    <s v="Telangana"/>
    <s v="Regular"/>
    <s v="P002"/>
    <s v="Face Cream"/>
    <x v="2"/>
    <x v="0"/>
    <s v="16-06-2026"/>
    <s v="22-06-2026"/>
    <n v="6"/>
    <n v="4"/>
    <n v="1200"/>
    <n v="10"/>
    <n v="4320"/>
    <x v="0"/>
    <s v="OK"/>
    <x v="10"/>
  </r>
  <r>
    <s v="ORD024"/>
    <s v="C004"/>
    <x v="3"/>
    <s v="Kolkata"/>
    <s v="West Bengal"/>
    <s v="Premium"/>
    <s v="P004"/>
    <s v="Running shoes"/>
    <x v="3"/>
    <x v="3"/>
    <s v="18-06-2026"/>
    <s v="25-06-2026"/>
    <n v="7"/>
    <n v="2"/>
    <n v="3500"/>
    <n v="5"/>
    <n v="6650"/>
    <x v="0"/>
    <s v="OK"/>
    <x v="10"/>
  </r>
  <r>
    <s v="ORD025"/>
    <s v="C005"/>
    <x v="4"/>
    <s v="Mumbai"/>
    <s v="Maharashtra"/>
    <s v="Regular"/>
    <s v="P005"/>
    <s v="Rice Cooker"/>
    <x v="4"/>
    <x v="0"/>
    <s v="20-06-2026"/>
    <s v="27-06-2026"/>
    <n v="7"/>
    <n v="3"/>
    <n v="2800"/>
    <n v="8"/>
    <n v="7728"/>
    <x v="0"/>
    <s v="OK"/>
    <x v="10"/>
  </r>
  <r>
    <s v="ORD026"/>
    <s v="C006"/>
    <x v="5"/>
    <s v="Kochi"/>
    <s v="Kerala"/>
    <s v="Premium"/>
    <s v="P001"/>
    <s v="Cotton Tshirt"/>
    <x v="1"/>
    <x v="0"/>
    <s v="21-06-2026"/>
    <s v="28-06-2026"/>
    <n v="7"/>
    <n v="3"/>
    <n v="799"/>
    <n v="5"/>
    <n v="2277.15"/>
    <x v="0"/>
    <s v="OK"/>
    <x v="10"/>
  </r>
  <r>
    <s v="ORD027"/>
    <s v="C007"/>
    <x v="6"/>
    <s v="Pune"/>
    <s v="Maharashtra"/>
    <s v="Regular"/>
    <s v="P003"/>
    <s v="Laptop Pro"/>
    <x v="0"/>
    <x v="3"/>
    <s v="22-06-2026"/>
    <s v="29-06-2026"/>
    <n v="7"/>
    <n v="1"/>
    <n v="0"/>
    <n v="10"/>
    <n v="0"/>
    <x v="1"/>
    <s v="Missing Price"/>
    <x v="10"/>
  </r>
  <r>
    <s v="ORD028"/>
    <s v="C008"/>
    <x v="7"/>
    <s v="Delhi"/>
    <s v="Delhi"/>
    <s v="Regular"/>
    <s v="P004"/>
    <s v="Running shoes"/>
    <x v="3"/>
    <x v="1"/>
    <s v="23-06-2026"/>
    <s v="30-06-2026"/>
    <n v="7"/>
    <n v="2"/>
    <n v="3500"/>
    <n v="0"/>
    <n v="7000"/>
    <x v="3"/>
    <s v="Missing Status"/>
    <x v="10"/>
  </r>
  <r>
    <s v="ORD029"/>
    <s v="C009"/>
    <x v="8"/>
    <s v="Ahmedabad"/>
    <s v="Gujarat"/>
    <s v="Premium"/>
    <s v="P005"/>
    <s v="Rice Cooker"/>
    <x v="4"/>
    <x v="2"/>
    <s v="24-06-2026"/>
    <d v="2026-07-01T00:00:00"/>
    <n v="7"/>
    <n v="2"/>
    <n v="2800"/>
    <n v="5"/>
    <n v="5320"/>
    <x v="0"/>
    <s v="OK"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A4C555-4BBB-4068-B796-24413ACFF62A}" name="PivotTable3" cacheId="19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7:F39" firstHeaderRow="1" firstDataRow="2" firstDataCol="1"/>
  <pivotFields count="20">
    <pivotField dataField="1" compact="0" outline="0" showAll="0"/>
    <pivotField compact="0" outline="0" showAll="0"/>
    <pivotField axis="axisRow" compact="0" outline="0" showAll="0">
      <items count="11">
        <item x="1"/>
        <item x="8"/>
        <item x="4"/>
        <item x="6"/>
        <item x="5"/>
        <item x="7"/>
        <item x="0"/>
        <item x="3"/>
        <item x="2"/>
        <item x="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x="2"/>
        <item x="0"/>
        <item x="1"/>
        <item x="4"/>
        <item x="3"/>
        <item t="default"/>
      </items>
    </pivotField>
    <pivotField compact="0" outline="0" showAll="0">
      <items count="5">
        <item x="2"/>
        <item x="0"/>
        <item x="1"/>
        <item x="3"/>
        <item t="default"/>
      </items>
    </pivotField>
    <pivotField compact="0" outline="0" showAll="0"/>
    <pivotField compact="0" outline="0" showAll="0"/>
    <pivotField compact="0" numFmtId="1" outline="0" showAll="0"/>
    <pivotField compact="0" outline="0" showAll="0"/>
    <pivotField compact="0" numFmtId="164" outline="0" showAll="0"/>
    <pivotField compact="0" outline="0" showAll="0"/>
    <pivotField compact="0" numFmtId="164" outline="0" showAll="0"/>
    <pivotField axis="axisCol" compact="0" outline="0" showAll="0">
      <items count="5">
        <item x="2"/>
        <item x="0"/>
        <item x="1"/>
        <item x="3"/>
        <item t="default"/>
      </items>
    </pivotField>
    <pivotField compact="0" outline="0" showAll="0"/>
    <pivotField compact="0" outline="0"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7"/>
  </colFields>
  <colItems count="5">
    <i>
      <x/>
    </i>
    <i>
      <x v="1"/>
    </i>
    <i>
      <x v="2"/>
    </i>
    <i>
      <x v="3"/>
    </i>
    <i t="grand">
      <x/>
    </i>
  </colItems>
  <dataFields count="1">
    <dataField name="Count of Order ID" fld="0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AACB6C-FD35-4D64-95EC-478A2BDEF918}" name="PivotTable2" cacheId="19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2:B24" firstHeaderRow="1" firstDataRow="1" firstDataCol="1" rowPageCount="1" colPageCount="1"/>
  <pivotFields count="2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x="2"/>
        <item x="0"/>
        <item x="1"/>
        <item x="4"/>
        <item x="3"/>
        <item t="default"/>
      </items>
    </pivotField>
    <pivotField compact="0" outline="0" showAll="0">
      <items count="5">
        <item x="2"/>
        <item x="0"/>
        <item x="1"/>
        <item x="3"/>
        <item t="default"/>
      </items>
    </pivotField>
    <pivotField compact="0" outline="0" showAll="0"/>
    <pivotField compact="0" outline="0" showAll="0"/>
    <pivotField compact="0" numFmtId="1" outline="0" showAll="0"/>
    <pivotField compact="0" outline="0" showAll="0"/>
    <pivotField compact="0" numFmtId="164" outline="0" showAll="0"/>
    <pivotField compact="0" outline="0" showAll="0"/>
    <pivotField dataField="1" compact="0" numFmtId="164" outline="0" showAll="0"/>
    <pivotField axis="axisPage" compact="0" outline="0" showAll="0">
      <items count="5">
        <item x="2"/>
        <item x="0"/>
        <item x="1"/>
        <item x="3"/>
        <item t="default"/>
      </items>
    </pivotField>
    <pivotField compact="0" outline="0" showAll="0"/>
    <pivotField axis="axisRow" compact="0" outline="0" showAll="0">
      <items count="12">
        <item x="5"/>
        <item x="1"/>
        <item x="0"/>
        <item x="9"/>
        <item x="3"/>
        <item x="7"/>
        <item x="2"/>
        <item x="4"/>
        <item x="6"/>
        <item x="8"/>
        <item x="10"/>
        <item t="default"/>
      </items>
    </pivotField>
  </pivotFields>
  <rowFields count="1">
    <field x="19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pageFields count="1">
    <pageField fld="17" hier="-1"/>
  </pageFields>
  <dataFields count="1">
    <dataField name="Sum of Revenue" fld="16" baseField="0" baseItem="0" numFmtId="164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03B0BD-26C3-4D44-93CB-BB58BD78C206}" name="PivotTable1" cacheId="19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G7" firstHeaderRow="1" firstDataRow="2" firstDataCol="1"/>
  <pivotFields count="2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6">
        <item x="2"/>
        <item x="0"/>
        <item x="1"/>
        <item x="4"/>
        <item x="3"/>
        <item t="default"/>
      </items>
    </pivotField>
    <pivotField axis="axisRow" compact="0" outline="0" showAll="0">
      <items count="5">
        <item x="2"/>
        <item x="0"/>
        <item x="1"/>
        <item x="3"/>
        <item t="default"/>
      </items>
    </pivotField>
    <pivotField compact="0" outline="0" showAll="0"/>
    <pivotField compact="0" outline="0" showAll="0"/>
    <pivotField compact="0" numFmtId="1" outline="0" showAll="0"/>
    <pivotField compact="0" outline="0" showAll="0"/>
    <pivotField compact="0" numFmtId="164" outline="0" showAll="0"/>
    <pivotField compact="0" outline="0" showAll="0"/>
    <pivotField dataField="1" compact="0" numFmtId="164" outline="0" showAll="0"/>
    <pivotField compact="0" outline="0" showAll="0">
      <items count="5">
        <item x="2"/>
        <item x="0"/>
        <item x="1"/>
        <item x="3"/>
        <item t="default"/>
      </items>
    </pivotField>
    <pivotField compact="0" outline="0" showAll="0"/>
    <pivotField compact="0" outline="0"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Revenue" fld="16" baseField="0" baseItem="0" numFmtId="164"/>
  </dataField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" xr10:uid="{D3A77C1B-81F7-4D35-B43A-1E6E261E7698}" sourceName="Category">
  <pivotTables>
    <pivotTable tabId="6" name="PivotTable1"/>
    <pivotTable tabId="6" name="PivotTable2"/>
    <pivotTable tabId="6" name="PivotTable3"/>
  </pivotTables>
  <data>
    <tabular pivotCacheId="153121822">
      <items count="5">
        <i x="2" s="1"/>
        <i x="0" s="1"/>
        <i x="1" s="1"/>
        <i x="4" s="1"/>
        <i x="3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9CBD8B2A-0DCB-4557-BE8C-32A4E6658A19}" sourceName="Region">
  <pivotTables>
    <pivotTable tabId="6" name="PivotTable1"/>
    <pivotTable tabId="6" name="PivotTable3"/>
    <pivotTable tabId="6" name="PivotTable2"/>
  </pivotTables>
  <data>
    <tabular pivotCacheId="153121822">
      <items count="4">
        <i x="2" s="1"/>
        <i x="0" s="1"/>
        <i x="1" s="1"/>
        <i x="3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tatus" xr10:uid="{7BA39769-4C02-4044-8CD7-5B3E4D4C2E1F}" sourceName="Status">
  <pivotTables>
    <pivotTable tabId="6" name="PivotTable1"/>
    <pivotTable tabId="6" name="PivotTable3"/>
    <pivotTable tabId="6" name="PivotTable2"/>
  </pivotTables>
  <data>
    <tabular pivotCacheId="153121822">
      <items count="4">
        <i x="2" s="1"/>
        <i x="0" s="1"/>
        <i x="1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y" xr10:uid="{DE240348-DB17-45CB-A76A-06C2AA80AD60}" cache="Slicer_Category" caption="Category" rowHeight="228600"/>
  <slicer name="Region" xr10:uid="{24BD5F66-8988-4A56-82F4-B28D6AD553AF}" cache="Slicer_Region" caption="Region" rowHeight="228600"/>
  <slicer name="Status" xr10:uid="{15F70FD2-3C8A-4721-B192-BEA54BDCB142}" cache="Slicer_Status" caption="Status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workbookViewId="0">
      <selection activeCell="A5" sqref="A5"/>
    </sheetView>
  </sheetViews>
  <sheetFormatPr defaultRowHeight="15"/>
  <cols>
    <col min="1" max="1" width="10.7109375" customWidth="1"/>
    <col min="2" max="2" width="14.140625" bestFit="1" customWidth="1"/>
    <col min="3" max="3" width="17.5703125" customWidth="1"/>
    <col min="4" max="4" width="12.5703125" customWidth="1"/>
    <col min="5" max="5" width="15.85546875" customWidth="1"/>
    <col min="6" max="6" width="14.140625" customWidth="1"/>
    <col min="7" max="7" width="10.85546875" customWidth="1"/>
    <col min="8" max="8" width="14.5703125" customWidth="1"/>
    <col min="9" max="9" width="15.140625" customWidth="1"/>
    <col min="10" max="10" width="11" customWidth="1"/>
    <col min="11" max="11" width="11.85546875" customWidth="1"/>
    <col min="12" max="12" width="13" customWidth="1"/>
    <col min="13" max="13" width="12.42578125" customWidth="1"/>
  </cols>
  <sheetData>
    <row r="1" spans="1:13" s="1" customFormat="1">
      <c r="A1" s="26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8</v>
      </c>
      <c r="J1" s="27" t="s">
        <v>9</v>
      </c>
      <c r="K1" s="27" t="s">
        <v>10</v>
      </c>
      <c r="L1" s="27" t="s">
        <v>11</v>
      </c>
      <c r="M1" s="28" t="s">
        <v>12</v>
      </c>
    </row>
    <row r="2" spans="1:13">
      <c r="A2" s="29" t="s">
        <v>13</v>
      </c>
      <c r="B2" s="30" t="s">
        <v>14</v>
      </c>
      <c r="C2" s="30" t="s">
        <v>15</v>
      </c>
      <c r="D2" s="30" t="s">
        <v>16</v>
      </c>
      <c r="E2" s="30" t="s">
        <v>17</v>
      </c>
      <c r="F2" s="30" t="s">
        <v>18</v>
      </c>
      <c r="G2" s="30" t="s">
        <v>19</v>
      </c>
      <c r="H2" s="31">
        <v>46143</v>
      </c>
      <c r="I2" s="31">
        <v>46296</v>
      </c>
      <c r="J2" s="30">
        <v>2</v>
      </c>
      <c r="K2" s="30" t="s">
        <v>20</v>
      </c>
      <c r="L2" s="32">
        <v>0.1</v>
      </c>
      <c r="M2" s="33" t="s">
        <v>21</v>
      </c>
    </row>
    <row r="3" spans="1:13">
      <c r="A3" s="34" t="s">
        <v>22</v>
      </c>
      <c r="B3" s="35" t="s">
        <v>23</v>
      </c>
      <c r="C3" s="35" t="s">
        <v>24</v>
      </c>
      <c r="D3" s="35" t="s">
        <v>25</v>
      </c>
      <c r="E3" s="35" t="s">
        <v>26</v>
      </c>
      <c r="F3" s="35" t="s">
        <v>27</v>
      </c>
      <c r="G3" s="35" t="s">
        <v>28</v>
      </c>
      <c r="H3" s="36">
        <v>46357</v>
      </c>
      <c r="I3" s="35" t="s">
        <v>29</v>
      </c>
      <c r="J3" s="35">
        <v>3</v>
      </c>
      <c r="K3" s="35" t="s">
        <v>30</v>
      </c>
      <c r="L3" s="37">
        <v>0.05</v>
      </c>
      <c r="M3" s="38" t="s">
        <v>31</v>
      </c>
    </row>
    <row r="4" spans="1:13">
      <c r="A4" s="29" t="s">
        <v>32</v>
      </c>
      <c r="B4" s="30" t="s">
        <v>33</v>
      </c>
      <c r="C4" s="30" t="s">
        <v>34</v>
      </c>
      <c r="D4" s="30" t="s">
        <v>35</v>
      </c>
      <c r="E4" s="30" t="s">
        <v>36</v>
      </c>
      <c r="F4" s="30" t="s">
        <v>37</v>
      </c>
      <c r="G4" s="30" t="s">
        <v>38</v>
      </c>
      <c r="H4" s="31">
        <v>46083</v>
      </c>
      <c r="I4" s="31">
        <v>46236</v>
      </c>
      <c r="J4" s="30">
        <v>1</v>
      </c>
      <c r="K4" s="30" t="s">
        <v>39</v>
      </c>
      <c r="L4" s="32">
        <v>0</v>
      </c>
      <c r="M4" s="33" t="s">
        <v>40</v>
      </c>
    </row>
    <row r="5" spans="1:13">
      <c r="A5" s="34" t="s">
        <v>41</v>
      </c>
      <c r="B5" s="35" t="s">
        <v>14</v>
      </c>
      <c r="C5" s="35" t="s">
        <v>15</v>
      </c>
      <c r="D5" s="35" t="s">
        <v>42</v>
      </c>
      <c r="E5" s="35" t="s">
        <v>43</v>
      </c>
      <c r="F5" s="35" t="s">
        <v>44</v>
      </c>
      <c r="G5" s="35" t="s">
        <v>45</v>
      </c>
      <c r="H5" s="35" t="s">
        <v>46</v>
      </c>
      <c r="I5" s="35" t="s">
        <v>47</v>
      </c>
      <c r="J5" s="35">
        <v>1</v>
      </c>
      <c r="K5" s="35" t="s">
        <v>48</v>
      </c>
      <c r="L5" s="37">
        <v>0.15</v>
      </c>
      <c r="M5" s="38" t="s">
        <v>21</v>
      </c>
    </row>
    <row r="6" spans="1:13">
      <c r="A6" s="29" t="s">
        <v>49</v>
      </c>
      <c r="B6" s="30" t="s">
        <v>50</v>
      </c>
      <c r="C6" s="30" t="s">
        <v>51</v>
      </c>
      <c r="D6" s="30" t="s">
        <v>25</v>
      </c>
      <c r="E6" s="30" t="s">
        <v>26</v>
      </c>
      <c r="F6" s="30" t="s">
        <v>27</v>
      </c>
      <c r="G6" s="30" t="s">
        <v>28</v>
      </c>
      <c r="H6" s="30" t="s">
        <v>47</v>
      </c>
      <c r="I6" s="31">
        <v>46084</v>
      </c>
      <c r="J6" s="30">
        <v>5</v>
      </c>
      <c r="K6" s="30" t="s">
        <v>30</v>
      </c>
      <c r="L6" s="32">
        <v>0.05</v>
      </c>
      <c r="M6" s="33" t="s">
        <v>52</v>
      </c>
    </row>
    <row r="7" spans="1:13">
      <c r="A7" s="34" t="s">
        <v>53</v>
      </c>
      <c r="B7" s="35" t="s">
        <v>54</v>
      </c>
      <c r="C7" s="35" t="s">
        <v>55</v>
      </c>
      <c r="D7" s="35" t="s">
        <v>56</v>
      </c>
      <c r="E7" s="35" t="s">
        <v>57</v>
      </c>
      <c r="F7" s="35" t="s">
        <v>58</v>
      </c>
      <c r="G7" s="35" t="s">
        <v>59</v>
      </c>
      <c r="H7" s="36">
        <v>46206</v>
      </c>
      <c r="I7" s="35" t="s">
        <v>60</v>
      </c>
      <c r="J7" s="35">
        <v>1</v>
      </c>
      <c r="K7" s="35" t="s">
        <v>61</v>
      </c>
      <c r="L7" s="37">
        <v>0.1</v>
      </c>
      <c r="M7" s="38" t="s">
        <v>62</v>
      </c>
    </row>
    <row r="8" spans="1:13">
      <c r="A8" s="29" t="s">
        <v>63</v>
      </c>
      <c r="B8" s="30" t="s">
        <v>23</v>
      </c>
      <c r="C8" s="30" t="s">
        <v>24</v>
      </c>
      <c r="D8" s="30" t="s">
        <v>16</v>
      </c>
      <c r="E8" s="30" t="s">
        <v>17</v>
      </c>
      <c r="F8" s="30" t="s">
        <v>18</v>
      </c>
      <c r="G8" s="30" t="s">
        <v>64</v>
      </c>
      <c r="H8" s="30" t="s">
        <v>60</v>
      </c>
      <c r="I8" s="30" t="s">
        <v>65</v>
      </c>
      <c r="J8" s="30">
        <v>1</v>
      </c>
      <c r="K8" s="30" t="s">
        <v>20</v>
      </c>
      <c r="L8" s="32">
        <v>0.08</v>
      </c>
      <c r="M8" s="33" t="s">
        <v>31</v>
      </c>
    </row>
    <row r="9" spans="1:13">
      <c r="A9" s="34" t="s">
        <v>66</v>
      </c>
      <c r="B9" s="35" t="s">
        <v>67</v>
      </c>
      <c r="C9" s="35" t="s">
        <v>68</v>
      </c>
      <c r="D9" s="35" t="s">
        <v>35</v>
      </c>
      <c r="E9" s="35" t="s">
        <v>36</v>
      </c>
      <c r="F9" s="35" t="s">
        <v>37</v>
      </c>
      <c r="G9" s="35" t="s">
        <v>69</v>
      </c>
      <c r="H9" s="35" t="s">
        <v>70</v>
      </c>
      <c r="I9" s="35" t="s">
        <v>71</v>
      </c>
      <c r="J9" s="35">
        <v>2</v>
      </c>
      <c r="K9" s="35" t="s">
        <v>39</v>
      </c>
      <c r="L9" s="37">
        <v>0</v>
      </c>
      <c r="M9" s="38" t="s">
        <v>21</v>
      </c>
    </row>
    <row r="10" spans="1:13">
      <c r="A10" s="29" t="s">
        <v>72</v>
      </c>
      <c r="B10" s="30" t="s">
        <v>33</v>
      </c>
      <c r="C10" s="30" t="s">
        <v>34</v>
      </c>
      <c r="D10" s="30" t="s">
        <v>42</v>
      </c>
      <c r="E10" s="30" t="s">
        <v>43</v>
      </c>
      <c r="F10" s="30" t="s">
        <v>44</v>
      </c>
      <c r="G10" s="30" t="s">
        <v>59</v>
      </c>
      <c r="H10" s="31">
        <v>46026</v>
      </c>
      <c r="I10" s="31">
        <v>46207</v>
      </c>
      <c r="J10" s="30">
        <v>3</v>
      </c>
      <c r="K10" s="30" t="s">
        <v>48</v>
      </c>
      <c r="L10" s="32">
        <v>0.1</v>
      </c>
      <c r="M10" s="33" t="s">
        <v>62</v>
      </c>
    </row>
    <row r="11" spans="1:13">
      <c r="A11" s="34" t="s">
        <v>73</v>
      </c>
      <c r="B11" s="35" t="s">
        <v>74</v>
      </c>
      <c r="C11" s="35" t="s">
        <v>75</v>
      </c>
      <c r="D11" s="35" t="s">
        <v>56</v>
      </c>
      <c r="E11" s="35" t="s">
        <v>57</v>
      </c>
      <c r="F11" s="35" t="s">
        <v>58</v>
      </c>
      <c r="G11" s="35" t="s">
        <v>76</v>
      </c>
      <c r="H11" s="36">
        <v>46238</v>
      </c>
      <c r="I11" s="35" t="s">
        <v>77</v>
      </c>
      <c r="J11" s="35">
        <v>2</v>
      </c>
      <c r="K11" s="35" t="s">
        <v>61</v>
      </c>
      <c r="L11" s="37">
        <v>0.05</v>
      </c>
      <c r="M11" s="38" t="s">
        <v>21</v>
      </c>
    </row>
    <row r="12" spans="1:13">
      <c r="A12" s="29" t="s">
        <v>78</v>
      </c>
      <c r="B12" s="30" t="s">
        <v>79</v>
      </c>
      <c r="C12" s="30" t="s">
        <v>80</v>
      </c>
      <c r="D12" s="30" t="s">
        <v>25</v>
      </c>
      <c r="E12" s="30" t="s">
        <v>26</v>
      </c>
      <c r="F12" s="30" t="s">
        <v>27</v>
      </c>
      <c r="G12" s="30" t="s">
        <v>45</v>
      </c>
      <c r="H12" s="30" t="s">
        <v>77</v>
      </c>
      <c r="I12" s="30" t="s">
        <v>81</v>
      </c>
      <c r="J12" s="30">
        <v>4</v>
      </c>
      <c r="K12" s="30" t="s">
        <v>30</v>
      </c>
      <c r="L12" s="32">
        <v>0</v>
      </c>
      <c r="M12" s="33" t="s">
        <v>40</v>
      </c>
    </row>
    <row r="13" spans="1:13">
      <c r="A13" s="34" t="s">
        <v>82</v>
      </c>
      <c r="B13" s="35" t="s">
        <v>50</v>
      </c>
      <c r="C13" s="35" t="s">
        <v>51</v>
      </c>
      <c r="D13" s="35" t="s">
        <v>16</v>
      </c>
      <c r="E13" s="35" t="s">
        <v>17</v>
      </c>
      <c r="F13" s="35" t="s">
        <v>18</v>
      </c>
      <c r="G13" s="35" t="s">
        <v>83</v>
      </c>
      <c r="H13" s="35" t="s">
        <v>84</v>
      </c>
      <c r="I13" s="35" t="s">
        <v>85</v>
      </c>
      <c r="J13" s="35">
        <v>1</v>
      </c>
      <c r="K13" s="35" t="s">
        <v>20</v>
      </c>
      <c r="L13" s="37">
        <v>0.12</v>
      </c>
      <c r="M13" s="38" t="s">
        <v>21</v>
      </c>
    </row>
    <row r="14" spans="1:13">
      <c r="A14" s="29" t="s">
        <v>86</v>
      </c>
      <c r="B14" s="30" t="s">
        <v>87</v>
      </c>
      <c r="C14" s="30" t="s">
        <v>88</v>
      </c>
      <c r="D14" s="30" t="s">
        <v>35</v>
      </c>
      <c r="E14" s="30" t="s">
        <v>36</v>
      </c>
      <c r="F14" s="30" t="s">
        <v>37</v>
      </c>
      <c r="G14" s="30" t="s">
        <v>59</v>
      </c>
      <c r="H14" s="30" t="s">
        <v>89</v>
      </c>
      <c r="I14" s="31">
        <v>46117</v>
      </c>
      <c r="J14" s="30">
        <v>3</v>
      </c>
      <c r="K14" s="30" t="s">
        <v>39</v>
      </c>
      <c r="L14" s="32">
        <v>0.05</v>
      </c>
      <c r="M14" s="33" t="s">
        <v>31</v>
      </c>
    </row>
    <row r="15" spans="1:13">
      <c r="A15" s="34" t="s">
        <v>90</v>
      </c>
      <c r="B15" s="35" t="s">
        <v>54</v>
      </c>
      <c r="C15" s="35" t="s">
        <v>55</v>
      </c>
      <c r="D15" s="35" t="s">
        <v>56</v>
      </c>
      <c r="E15" s="35" t="s">
        <v>57</v>
      </c>
      <c r="F15" s="35" t="s">
        <v>58</v>
      </c>
      <c r="G15" s="35" t="s">
        <v>91</v>
      </c>
      <c r="H15" s="36">
        <v>46147</v>
      </c>
      <c r="I15" s="35" t="s">
        <v>92</v>
      </c>
      <c r="J15" s="35">
        <v>1</v>
      </c>
      <c r="K15" s="35" t="s">
        <v>61</v>
      </c>
      <c r="L15" s="37">
        <v>0</v>
      </c>
      <c r="M15" s="38" t="s">
        <v>62</v>
      </c>
    </row>
    <row r="16" spans="1:13">
      <c r="A16" s="29" t="s">
        <v>93</v>
      </c>
      <c r="B16" s="30" t="s">
        <v>94</v>
      </c>
      <c r="C16" s="30" t="s">
        <v>95</v>
      </c>
      <c r="D16" s="30" t="s">
        <v>42</v>
      </c>
      <c r="E16" s="30" t="s">
        <v>43</v>
      </c>
      <c r="F16" s="30" t="s">
        <v>44</v>
      </c>
      <c r="G16" s="30" t="s">
        <v>19</v>
      </c>
      <c r="H16" s="31">
        <v>46361</v>
      </c>
      <c r="I16" s="30" t="s">
        <v>96</v>
      </c>
      <c r="J16" s="30">
        <v>2</v>
      </c>
      <c r="K16" s="30" t="s">
        <v>48</v>
      </c>
      <c r="L16" s="32">
        <v>0.08</v>
      </c>
      <c r="M16" s="33" t="s">
        <v>21</v>
      </c>
    </row>
    <row r="17" spans="1:13">
      <c r="A17" s="34" t="s">
        <v>97</v>
      </c>
      <c r="B17" s="35" t="s">
        <v>14</v>
      </c>
      <c r="C17" s="35" t="s">
        <v>15</v>
      </c>
      <c r="D17" s="35" t="s">
        <v>25</v>
      </c>
      <c r="E17" s="35" t="s">
        <v>26</v>
      </c>
      <c r="F17" s="35" t="s">
        <v>27</v>
      </c>
      <c r="G17" s="35" t="s">
        <v>45</v>
      </c>
      <c r="H17" s="35" t="s">
        <v>98</v>
      </c>
      <c r="I17" s="35" t="s">
        <v>99</v>
      </c>
      <c r="J17" s="35">
        <v>6</v>
      </c>
      <c r="K17" s="35" t="s">
        <v>30</v>
      </c>
      <c r="L17" s="37">
        <v>0.1</v>
      </c>
      <c r="M17" s="38" t="s">
        <v>40</v>
      </c>
    </row>
    <row r="18" spans="1:13">
      <c r="A18" s="29" t="s">
        <v>100</v>
      </c>
      <c r="B18" s="30" t="s">
        <v>67</v>
      </c>
      <c r="C18" s="30" t="s">
        <v>68</v>
      </c>
      <c r="D18" s="30" t="s">
        <v>16</v>
      </c>
      <c r="E18" s="30" t="s">
        <v>17</v>
      </c>
      <c r="F18" s="30" t="s">
        <v>18</v>
      </c>
      <c r="G18" s="30" t="s">
        <v>38</v>
      </c>
      <c r="H18" s="30" t="s">
        <v>101</v>
      </c>
      <c r="I18" s="30" t="s">
        <v>102</v>
      </c>
      <c r="J18" s="30">
        <v>1</v>
      </c>
      <c r="K18" s="30" t="s">
        <v>20</v>
      </c>
      <c r="L18" s="32">
        <v>0.05</v>
      </c>
      <c r="M18" s="33" t="s">
        <v>62</v>
      </c>
    </row>
    <row r="19" spans="1:13">
      <c r="A19" s="34" t="s">
        <v>103</v>
      </c>
      <c r="B19" s="35" t="s">
        <v>23</v>
      </c>
      <c r="C19" s="35" t="s">
        <v>24</v>
      </c>
      <c r="D19" s="35" t="s">
        <v>35</v>
      </c>
      <c r="E19" s="35" t="s">
        <v>36</v>
      </c>
      <c r="F19" s="35" t="s">
        <v>37</v>
      </c>
      <c r="G19" s="35" t="s">
        <v>64</v>
      </c>
      <c r="H19" s="36">
        <v>46028</v>
      </c>
      <c r="I19" s="36">
        <v>46209</v>
      </c>
      <c r="J19" s="35">
        <v>2</v>
      </c>
      <c r="K19" s="35" t="s">
        <v>39</v>
      </c>
      <c r="L19" s="37">
        <v>0</v>
      </c>
      <c r="M19" s="38" t="s">
        <v>31</v>
      </c>
    </row>
    <row r="20" spans="1:13">
      <c r="A20" s="29" t="s">
        <v>104</v>
      </c>
      <c r="B20" s="30" t="s">
        <v>74</v>
      </c>
      <c r="C20" s="30" t="s">
        <v>75</v>
      </c>
      <c r="D20" s="30" t="s">
        <v>42</v>
      </c>
      <c r="E20" s="30" t="s">
        <v>43</v>
      </c>
      <c r="F20" s="30" t="s">
        <v>44</v>
      </c>
      <c r="G20" s="30" t="s">
        <v>105</v>
      </c>
      <c r="H20" s="31">
        <v>46148</v>
      </c>
      <c r="I20" s="31">
        <v>46362</v>
      </c>
      <c r="J20" s="30">
        <v>3</v>
      </c>
      <c r="K20" s="30" t="s">
        <v>48</v>
      </c>
      <c r="L20" s="32">
        <v>0.15</v>
      </c>
      <c r="M20" s="33" t="s">
        <v>21</v>
      </c>
    </row>
    <row r="21" spans="1:13">
      <c r="A21" s="34" t="s">
        <v>106</v>
      </c>
      <c r="B21" s="35" t="s">
        <v>79</v>
      </c>
      <c r="C21" s="35" t="s">
        <v>80</v>
      </c>
      <c r="D21" s="35" t="s">
        <v>56</v>
      </c>
      <c r="E21" s="35" t="s">
        <v>57</v>
      </c>
      <c r="F21" s="35" t="s">
        <v>58</v>
      </c>
      <c r="G21" s="35" t="s">
        <v>69</v>
      </c>
      <c r="H21" s="36">
        <v>46301</v>
      </c>
      <c r="I21" s="35" t="s">
        <v>107</v>
      </c>
      <c r="J21" s="35">
        <v>1</v>
      </c>
      <c r="K21" s="35" t="s">
        <v>61</v>
      </c>
      <c r="L21" s="37">
        <v>0.1</v>
      </c>
      <c r="M21" s="38" t="s">
        <v>40</v>
      </c>
    </row>
    <row r="22" spans="1:13">
      <c r="A22" s="29" t="s">
        <v>108</v>
      </c>
      <c r="B22" s="30" t="s">
        <v>87</v>
      </c>
      <c r="C22" s="30" t="s">
        <v>109</v>
      </c>
      <c r="D22" s="30" t="s">
        <v>25</v>
      </c>
      <c r="E22" s="30" t="s">
        <v>26</v>
      </c>
      <c r="F22" s="30" t="s">
        <v>27</v>
      </c>
      <c r="G22" s="30" t="s">
        <v>38</v>
      </c>
      <c r="H22" s="31">
        <v>46362</v>
      </c>
      <c r="I22" s="30" t="s">
        <v>110</v>
      </c>
      <c r="J22" s="30">
        <v>2</v>
      </c>
      <c r="K22" s="30" t="s">
        <v>30</v>
      </c>
      <c r="L22" s="32">
        <v>0.05</v>
      </c>
      <c r="M22" s="33" t="s">
        <v>62</v>
      </c>
    </row>
    <row r="23" spans="1:13">
      <c r="A23" s="34" t="s">
        <v>111</v>
      </c>
      <c r="B23" s="35" t="s">
        <v>94</v>
      </c>
      <c r="C23" s="35" t="s">
        <v>95</v>
      </c>
      <c r="D23" s="35" t="s">
        <v>16</v>
      </c>
      <c r="E23" s="35" t="s">
        <v>17</v>
      </c>
      <c r="F23" s="35" t="s">
        <v>18</v>
      </c>
      <c r="G23" s="35" t="s">
        <v>64</v>
      </c>
      <c r="H23" s="35" t="s">
        <v>112</v>
      </c>
      <c r="I23" s="35" t="s">
        <v>113</v>
      </c>
      <c r="J23" s="35">
        <v>1</v>
      </c>
      <c r="K23" s="35" t="s">
        <v>20</v>
      </c>
      <c r="L23" s="37">
        <v>0</v>
      </c>
      <c r="M23" s="38" t="s">
        <v>31</v>
      </c>
    </row>
    <row r="24" spans="1:13">
      <c r="A24" s="29" t="s">
        <v>114</v>
      </c>
      <c r="B24" s="30" t="s">
        <v>33</v>
      </c>
      <c r="C24" s="30" t="s">
        <v>34</v>
      </c>
      <c r="D24" s="30" t="s">
        <v>35</v>
      </c>
      <c r="E24" s="30" t="s">
        <v>36</v>
      </c>
      <c r="F24" s="30" t="s">
        <v>37</v>
      </c>
      <c r="G24" s="30" t="s">
        <v>19</v>
      </c>
      <c r="H24" s="31">
        <v>46028</v>
      </c>
      <c r="I24" s="30" t="s">
        <v>115</v>
      </c>
      <c r="J24" s="30">
        <v>4</v>
      </c>
      <c r="K24" s="30" t="s">
        <v>39</v>
      </c>
      <c r="L24" s="32">
        <v>0.1</v>
      </c>
      <c r="M24" s="33" t="s">
        <v>21</v>
      </c>
    </row>
    <row r="25" spans="1:13">
      <c r="A25" s="34" t="s">
        <v>116</v>
      </c>
      <c r="B25" s="35" t="s">
        <v>50</v>
      </c>
      <c r="C25" s="35" t="s">
        <v>51</v>
      </c>
      <c r="D25" s="35" t="s">
        <v>42</v>
      </c>
      <c r="E25" s="35" t="s">
        <v>43</v>
      </c>
      <c r="F25" s="35" t="s">
        <v>44</v>
      </c>
      <c r="G25" s="35" t="s">
        <v>91</v>
      </c>
      <c r="H25" s="35" t="s">
        <v>110</v>
      </c>
      <c r="I25" s="35" t="s">
        <v>117</v>
      </c>
      <c r="J25" s="35">
        <v>2</v>
      </c>
      <c r="K25" s="35" t="s">
        <v>48</v>
      </c>
      <c r="L25" s="37">
        <v>0.05</v>
      </c>
      <c r="M25" s="38" t="s">
        <v>40</v>
      </c>
    </row>
    <row r="26" spans="1:13">
      <c r="A26" s="29" t="s">
        <v>118</v>
      </c>
      <c r="B26" s="30" t="s">
        <v>54</v>
      </c>
      <c r="C26" s="30" t="s">
        <v>55</v>
      </c>
      <c r="D26" s="30" t="s">
        <v>56</v>
      </c>
      <c r="E26" s="30" t="s">
        <v>57</v>
      </c>
      <c r="F26" s="30" t="s">
        <v>58</v>
      </c>
      <c r="G26" s="30" t="s">
        <v>45</v>
      </c>
      <c r="H26" s="30" t="s">
        <v>119</v>
      </c>
      <c r="I26" s="30" t="s">
        <v>120</v>
      </c>
      <c r="J26" s="30">
        <v>3</v>
      </c>
      <c r="K26" s="30" t="s">
        <v>61</v>
      </c>
      <c r="L26" s="32">
        <v>0.08</v>
      </c>
      <c r="M26" s="33" t="s">
        <v>62</v>
      </c>
    </row>
    <row r="27" spans="1:13">
      <c r="A27" s="34" t="s">
        <v>32</v>
      </c>
      <c r="B27" s="35" t="s">
        <v>33</v>
      </c>
      <c r="C27" s="35" t="s">
        <v>34</v>
      </c>
      <c r="D27" s="35" t="s">
        <v>35</v>
      </c>
      <c r="E27" s="35" t="s">
        <v>36</v>
      </c>
      <c r="F27" s="35" t="s">
        <v>37</v>
      </c>
      <c r="G27" s="35" t="s">
        <v>38</v>
      </c>
      <c r="H27" s="36">
        <v>46083</v>
      </c>
      <c r="I27" s="36">
        <v>46236</v>
      </c>
      <c r="J27" s="35">
        <v>1</v>
      </c>
      <c r="K27" s="35" t="s">
        <v>39</v>
      </c>
      <c r="L27" s="37">
        <v>0</v>
      </c>
      <c r="M27" s="38" t="s">
        <v>40</v>
      </c>
    </row>
    <row r="28" spans="1:13">
      <c r="A28" s="29" t="s">
        <v>121</v>
      </c>
      <c r="B28" s="30" t="s">
        <v>67</v>
      </c>
      <c r="C28" s="30" t="s">
        <v>68</v>
      </c>
      <c r="D28" s="30" t="s">
        <v>25</v>
      </c>
      <c r="E28" s="30" t="s">
        <v>26</v>
      </c>
      <c r="F28" s="30" t="s">
        <v>27</v>
      </c>
      <c r="G28" s="30" t="s">
        <v>122</v>
      </c>
      <c r="H28" s="30" t="s">
        <v>113</v>
      </c>
      <c r="I28" s="30" t="s">
        <v>123</v>
      </c>
      <c r="J28" s="30">
        <v>3</v>
      </c>
      <c r="K28" s="30" t="s">
        <v>30</v>
      </c>
      <c r="L28" s="32">
        <v>0.05</v>
      </c>
      <c r="M28" s="33" t="s">
        <v>21</v>
      </c>
    </row>
    <row r="29" spans="1:13">
      <c r="A29" s="34" t="s">
        <v>124</v>
      </c>
      <c r="B29" s="35" t="s">
        <v>74</v>
      </c>
      <c r="C29" s="35" t="s">
        <v>75</v>
      </c>
      <c r="D29" s="35" t="s">
        <v>16</v>
      </c>
      <c r="E29" s="35" t="s">
        <v>17</v>
      </c>
      <c r="F29" s="35" t="s">
        <v>18</v>
      </c>
      <c r="G29" s="35" t="s">
        <v>105</v>
      </c>
      <c r="H29" s="35" t="s">
        <v>115</v>
      </c>
      <c r="I29" s="35" t="s">
        <v>125</v>
      </c>
      <c r="J29" s="35">
        <v>1</v>
      </c>
      <c r="K29" s="35"/>
      <c r="L29" s="37">
        <v>0.1</v>
      </c>
      <c r="M29" s="38" t="s">
        <v>31</v>
      </c>
    </row>
    <row r="30" spans="1:13">
      <c r="A30" s="29" t="s">
        <v>126</v>
      </c>
      <c r="B30" s="30" t="s">
        <v>79</v>
      </c>
      <c r="C30" s="30" t="s">
        <v>80</v>
      </c>
      <c r="D30" s="30" t="s">
        <v>42</v>
      </c>
      <c r="E30" s="30" t="s">
        <v>43</v>
      </c>
      <c r="F30" s="30" t="s">
        <v>44</v>
      </c>
      <c r="G30" s="30" t="s">
        <v>64</v>
      </c>
      <c r="H30" s="30" t="s">
        <v>127</v>
      </c>
      <c r="I30" s="30" t="s">
        <v>128</v>
      </c>
      <c r="J30" s="30">
        <v>2</v>
      </c>
      <c r="K30" s="30" t="s">
        <v>48</v>
      </c>
      <c r="L30" s="32">
        <v>0</v>
      </c>
      <c r="M30" s="33"/>
    </row>
    <row r="31" spans="1:13">
      <c r="A31" s="39" t="s">
        <v>129</v>
      </c>
      <c r="B31" s="40" t="s">
        <v>87</v>
      </c>
      <c r="C31" s="40" t="s">
        <v>109</v>
      </c>
      <c r="D31" s="40" t="s">
        <v>56</v>
      </c>
      <c r="E31" s="40" t="s">
        <v>57</v>
      </c>
      <c r="F31" s="40" t="s">
        <v>58</v>
      </c>
      <c r="G31" s="40" t="s">
        <v>59</v>
      </c>
      <c r="H31" s="40" t="s">
        <v>130</v>
      </c>
      <c r="I31" s="41">
        <v>46029</v>
      </c>
      <c r="J31" s="40">
        <v>2</v>
      </c>
      <c r="K31" s="40" t="s">
        <v>61</v>
      </c>
      <c r="L31" s="42">
        <v>0.05</v>
      </c>
      <c r="M31" s="43" t="s">
        <v>21</v>
      </c>
    </row>
  </sheetData>
  <dataValidations count="2">
    <dataValidation type="list" allowBlank="1" showInputMessage="1" showErrorMessage="1" errorTitle="Invalid Status" error="Please choose from the dropdown list only" promptTitle="Status" prompt="Choose Delivered, Pending or Cancelled only" sqref="M1:M1048576" xr:uid="{6E042BDD-300C-4640-971D-EC18AF383EC7}">
      <formula1>"Delivered,Pending,Cancelled"</formula1>
    </dataValidation>
    <dataValidation type="list" allowBlank="1" showInputMessage="1" showErrorMessage="1" errorTitle="Invalid Region " error="Please choose from the dropdown list only" promptTitle="Region" prompt="Choose North, South, East or West only" sqref="G2:G31" xr:uid="{65B6DCFE-00BF-4D7D-85DD-87F7325579C0}">
      <formula1>"North,South,East,West"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156F1-2272-4AF6-9E1F-6317CB8E86EB}">
  <dimension ref="A1:F6"/>
  <sheetViews>
    <sheetView workbookViewId="0">
      <selection activeCell="A2" sqref="A2"/>
    </sheetView>
  </sheetViews>
  <sheetFormatPr defaultRowHeight="15"/>
  <cols>
    <col min="1" max="1" width="12.5703125" bestFit="1" customWidth="1"/>
    <col min="2" max="2" width="15.85546875" bestFit="1" customWidth="1"/>
    <col min="3" max="3" width="11.140625" bestFit="1" customWidth="1"/>
    <col min="4" max="4" width="14.7109375" bestFit="1" customWidth="1"/>
    <col min="5" max="5" width="14.85546875" bestFit="1" customWidth="1"/>
    <col min="6" max="6" width="17" bestFit="1" customWidth="1"/>
  </cols>
  <sheetData>
    <row r="1" spans="1:6" s="3" customFormat="1">
      <c r="A1" s="44" t="s">
        <v>3</v>
      </c>
      <c r="B1" s="45" t="s">
        <v>4</v>
      </c>
      <c r="C1" s="45" t="s">
        <v>5</v>
      </c>
      <c r="D1" s="45" t="s">
        <v>131</v>
      </c>
      <c r="E1" s="45" t="s">
        <v>132</v>
      </c>
      <c r="F1" s="46" t="s">
        <v>133</v>
      </c>
    </row>
    <row r="2" spans="1:6">
      <c r="A2" s="29" t="s">
        <v>25</v>
      </c>
      <c r="B2" s="30" t="s">
        <v>26</v>
      </c>
      <c r="C2" s="30" t="s">
        <v>27</v>
      </c>
      <c r="D2" s="30">
        <v>799</v>
      </c>
      <c r="E2" s="30">
        <v>350</v>
      </c>
      <c r="F2" s="47">
        <v>0.56000000000000005</v>
      </c>
    </row>
    <row r="3" spans="1:6">
      <c r="A3" s="34" t="s">
        <v>35</v>
      </c>
      <c r="B3" s="35" t="s">
        <v>36</v>
      </c>
      <c r="C3" s="35" t="s">
        <v>37</v>
      </c>
      <c r="D3" s="35">
        <v>1200</v>
      </c>
      <c r="E3" s="35">
        <v>480</v>
      </c>
      <c r="F3" s="48">
        <v>0.6</v>
      </c>
    </row>
    <row r="4" spans="1:6">
      <c r="A4" s="29" t="s">
        <v>16</v>
      </c>
      <c r="B4" s="30" t="s">
        <v>17</v>
      </c>
      <c r="C4" s="30" t="s">
        <v>18</v>
      </c>
      <c r="D4" s="30">
        <v>55000</v>
      </c>
      <c r="E4" s="30">
        <v>38000</v>
      </c>
      <c r="F4" s="47">
        <v>0.31</v>
      </c>
    </row>
    <row r="5" spans="1:6">
      <c r="A5" s="34" t="s">
        <v>42</v>
      </c>
      <c r="B5" s="35" t="s">
        <v>134</v>
      </c>
      <c r="C5" s="35" t="s">
        <v>44</v>
      </c>
      <c r="D5" s="35">
        <v>3500</v>
      </c>
      <c r="E5" s="35">
        <v>1500</v>
      </c>
      <c r="F5" s="48">
        <v>0.56999999999999995</v>
      </c>
    </row>
    <row r="6" spans="1:6">
      <c r="A6" s="49" t="s">
        <v>56</v>
      </c>
      <c r="B6" s="50" t="s">
        <v>57</v>
      </c>
      <c r="C6" s="50" t="s">
        <v>58</v>
      </c>
      <c r="D6" s="50">
        <v>2800</v>
      </c>
      <c r="E6" s="50">
        <v>1100</v>
      </c>
      <c r="F6" s="51">
        <v>0.61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8B94F-1EAB-479C-B40A-29FE866C8A83}">
  <dimension ref="A1:F11"/>
  <sheetViews>
    <sheetView workbookViewId="0">
      <selection activeCell="A2" sqref="A2"/>
    </sheetView>
  </sheetViews>
  <sheetFormatPr defaultRowHeight="15"/>
  <cols>
    <col min="1" max="1" width="14.140625" bestFit="1" customWidth="1"/>
    <col min="2" max="2" width="17.5703125" bestFit="1" customWidth="1"/>
    <col min="3" max="3" width="11.42578125" bestFit="1" customWidth="1"/>
    <col min="4" max="4" width="12.140625" bestFit="1" customWidth="1"/>
    <col min="5" max="5" width="16.85546875" bestFit="1" customWidth="1"/>
    <col min="6" max="6" width="16.5703125" bestFit="1" customWidth="1"/>
  </cols>
  <sheetData>
    <row r="1" spans="1:6" s="4" customFormat="1">
      <c r="A1" s="52" t="s">
        <v>1</v>
      </c>
      <c r="B1" s="53" t="s">
        <v>2</v>
      </c>
      <c r="C1" s="53" t="s">
        <v>135</v>
      </c>
      <c r="D1" s="53" t="s">
        <v>136</v>
      </c>
      <c r="E1" s="53" t="s">
        <v>137</v>
      </c>
      <c r="F1" s="54" t="s">
        <v>138</v>
      </c>
    </row>
    <row r="2" spans="1:6">
      <c r="A2" s="29" t="s">
        <v>14</v>
      </c>
      <c r="B2" s="30" t="s">
        <v>139</v>
      </c>
      <c r="C2" s="30" t="s">
        <v>140</v>
      </c>
      <c r="D2" s="30" t="s">
        <v>141</v>
      </c>
      <c r="E2" s="30" t="s">
        <v>142</v>
      </c>
      <c r="F2" s="33" t="s">
        <v>143</v>
      </c>
    </row>
    <row r="3" spans="1:6">
      <c r="A3" s="34" t="s">
        <v>23</v>
      </c>
      <c r="B3" s="35" t="s">
        <v>144</v>
      </c>
      <c r="C3" s="35" t="s">
        <v>145</v>
      </c>
      <c r="D3" s="35" t="s">
        <v>146</v>
      </c>
      <c r="E3" s="35" t="s">
        <v>147</v>
      </c>
      <c r="F3" s="38" t="s">
        <v>148</v>
      </c>
    </row>
    <row r="4" spans="1:6">
      <c r="A4" s="29" t="s">
        <v>33</v>
      </c>
      <c r="B4" s="30" t="s">
        <v>149</v>
      </c>
      <c r="C4" s="30" t="s">
        <v>150</v>
      </c>
      <c r="D4" s="30" t="s">
        <v>151</v>
      </c>
      <c r="E4" s="31">
        <v>45566</v>
      </c>
      <c r="F4" s="33" t="s">
        <v>148</v>
      </c>
    </row>
    <row r="5" spans="1:6">
      <c r="A5" s="34" t="s">
        <v>50</v>
      </c>
      <c r="B5" s="35" t="s">
        <v>152</v>
      </c>
      <c r="C5" s="35" t="s">
        <v>153</v>
      </c>
      <c r="D5" s="35" t="s">
        <v>154</v>
      </c>
      <c r="E5" s="36">
        <v>44325</v>
      </c>
      <c r="F5" s="38" t="s">
        <v>143</v>
      </c>
    </row>
    <row r="6" spans="1:6">
      <c r="A6" s="29" t="s">
        <v>54</v>
      </c>
      <c r="B6" s="30" t="s">
        <v>155</v>
      </c>
      <c r="C6" s="30" t="s">
        <v>156</v>
      </c>
      <c r="D6" s="30" t="s">
        <v>157</v>
      </c>
      <c r="E6" s="30" t="s">
        <v>158</v>
      </c>
      <c r="F6" s="33" t="s">
        <v>148</v>
      </c>
    </row>
    <row r="7" spans="1:6">
      <c r="A7" s="34" t="s">
        <v>67</v>
      </c>
      <c r="B7" s="35" t="s">
        <v>159</v>
      </c>
      <c r="C7" s="35" t="s">
        <v>160</v>
      </c>
      <c r="D7" s="35" t="s">
        <v>161</v>
      </c>
      <c r="E7" s="35" t="s">
        <v>162</v>
      </c>
      <c r="F7" s="38" t="s">
        <v>143</v>
      </c>
    </row>
    <row r="8" spans="1:6">
      <c r="A8" s="29" t="s">
        <v>74</v>
      </c>
      <c r="B8" s="30" t="s">
        <v>163</v>
      </c>
      <c r="C8" s="30" t="s">
        <v>164</v>
      </c>
      <c r="D8" s="30" t="s">
        <v>157</v>
      </c>
      <c r="E8" s="30" t="s">
        <v>165</v>
      </c>
      <c r="F8" s="33" t="s">
        <v>148</v>
      </c>
    </row>
    <row r="9" spans="1:6">
      <c r="A9" s="34" t="s">
        <v>79</v>
      </c>
      <c r="B9" s="35" t="s">
        <v>166</v>
      </c>
      <c r="C9" s="35" t="s">
        <v>167</v>
      </c>
      <c r="D9" s="35" t="s">
        <v>167</v>
      </c>
      <c r="E9" s="36">
        <v>45324</v>
      </c>
      <c r="F9" s="38" t="s">
        <v>148</v>
      </c>
    </row>
    <row r="10" spans="1:6">
      <c r="A10" s="29" t="s">
        <v>87</v>
      </c>
      <c r="B10" s="30" t="s">
        <v>168</v>
      </c>
      <c r="C10" s="30" t="s">
        <v>169</v>
      </c>
      <c r="D10" s="30" t="s">
        <v>170</v>
      </c>
      <c r="E10" s="30" t="s">
        <v>171</v>
      </c>
      <c r="F10" s="33" t="s">
        <v>143</v>
      </c>
    </row>
    <row r="11" spans="1:6">
      <c r="A11" s="39" t="s">
        <v>94</v>
      </c>
      <c r="B11" s="40" t="s">
        <v>172</v>
      </c>
      <c r="C11" s="40" t="s">
        <v>173</v>
      </c>
      <c r="D11" s="40" t="s">
        <v>174</v>
      </c>
      <c r="E11" s="41">
        <v>44512</v>
      </c>
      <c r="F11" s="43" t="s">
        <v>148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29C94-04B8-4323-9670-9F1A5BA3EA1A}">
  <dimension ref="A1:U30"/>
  <sheetViews>
    <sheetView workbookViewId="0">
      <selection activeCell="T1" sqref="T1:T1048576"/>
    </sheetView>
  </sheetViews>
  <sheetFormatPr defaultRowHeight="15"/>
  <cols>
    <col min="1" max="1" width="11.140625" customWidth="1"/>
    <col min="2" max="2" width="11.85546875" customWidth="1"/>
    <col min="3" max="3" width="15.42578125" customWidth="1"/>
    <col min="4" max="4" width="12.140625" customWidth="1"/>
    <col min="5" max="5" width="16.28515625" customWidth="1"/>
    <col min="6" max="6" width="14.5703125" customWidth="1"/>
    <col min="7" max="7" width="11" customWidth="1"/>
    <col min="8" max="8" width="13.7109375" bestFit="1" customWidth="1"/>
    <col min="9" max="9" width="10" customWidth="1"/>
    <col min="10" max="10" width="9" customWidth="1"/>
    <col min="11" max="11" width="14.5703125" style="25" customWidth="1"/>
    <col min="12" max="12" width="14.85546875" style="25" customWidth="1"/>
    <col min="13" max="13" width="13.85546875" customWidth="1"/>
    <col min="15" max="15" width="12" style="10" customWidth="1"/>
    <col min="16" max="16" width="10.7109375" bestFit="1" customWidth="1"/>
    <col min="17" max="17" width="11.140625" style="10" bestFit="1" customWidth="1"/>
    <col min="18" max="18" width="11.85546875" customWidth="1"/>
    <col min="19" max="19" width="14.7109375" customWidth="1"/>
    <col min="20" max="20" width="28.28515625" style="57" customWidth="1"/>
    <col min="21" max="21" width="42.42578125" style="14" customWidth="1"/>
  </cols>
  <sheetData>
    <row r="1" spans="1:21" s="8" customFormat="1">
      <c r="A1" s="8" t="s">
        <v>0</v>
      </c>
      <c r="B1" s="8" t="s">
        <v>1</v>
      </c>
      <c r="C1" s="8" t="s">
        <v>2</v>
      </c>
      <c r="D1" s="8" t="s">
        <v>135</v>
      </c>
      <c r="E1" s="8" t="s">
        <v>136</v>
      </c>
      <c r="F1" s="8" t="s">
        <v>138</v>
      </c>
      <c r="G1" s="8" t="s">
        <v>3</v>
      </c>
      <c r="H1" s="8" t="s">
        <v>4</v>
      </c>
      <c r="I1" s="8" t="s">
        <v>5</v>
      </c>
      <c r="J1" s="8" t="s">
        <v>6</v>
      </c>
      <c r="K1" s="24" t="s">
        <v>7</v>
      </c>
      <c r="L1" s="24" t="s">
        <v>8</v>
      </c>
      <c r="M1" s="8" t="s">
        <v>175</v>
      </c>
      <c r="N1" s="8" t="s">
        <v>9</v>
      </c>
      <c r="O1" s="9" t="s">
        <v>10</v>
      </c>
      <c r="P1" s="8" t="s">
        <v>11</v>
      </c>
      <c r="Q1" s="9" t="s">
        <v>176</v>
      </c>
      <c r="R1" s="8" t="s">
        <v>12</v>
      </c>
      <c r="S1" s="8" t="s">
        <v>177</v>
      </c>
      <c r="T1" s="56" t="s">
        <v>178</v>
      </c>
      <c r="U1" s="13"/>
    </row>
    <row r="2" spans="1:21">
      <c r="A2" s="5" t="s">
        <v>13</v>
      </c>
      <c r="B2" s="5" t="s">
        <v>14</v>
      </c>
      <c r="C2" t="s">
        <v>179</v>
      </c>
      <c r="D2" t="s">
        <v>140</v>
      </c>
      <c r="E2" t="s">
        <v>141</v>
      </c>
      <c r="F2" s="5" t="s">
        <v>143</v>
      </c>
      <c r="G2" t="s">
        <v>16</v>
      </c>
      <c r="H2" t="s">
        <v>17</v>
      </c>
      <c r="I2" t="s">
        <v>18</v>
      </c>
      <c r="J2" s="5" t="s">
        <v>45</v>
      </c>
      <c r="K2" s="55">
        <v>46027</v>
      </c>
      <c r="L2" s="55">
        <v>46032</v>
      </c>
      <c r="M2" s="6">
        <v>5</v>
      </c>
      <c r="N2">
        <v>2</v>
      </c>
      <c r="O2" s="11">
        <v>55000</v>
      </c>
      <c r="P2" s="7">
        <v>10</v>
      </c>
      <c r="Q2" s="10">
        <v>99000</v>
      </c>
      <c r="R2" s="5" t="s">
        <v>40</v>
      </c>
      <c r="S2" t="s">
        <v>180</v>
      </c>
      <c r="T2" s="57" t="s">
        <v>181</v>
      </c>
      <c r="U2" s="18"/>
    </row>
    <row r="3" spans="1:21">
      <c r="A3" s="5" t="str">
        <f>TRIM(UPPER('Raw Data'!A3))</f>
        <v>ORD002</v>
      </c>
      <c r="B3" s="5" t="str">
        <f>TRIM(UPPER('Raw Data'!B3))</f>
        <v>C002</v>
      </c>
      <c r="C3" t="str">
        <f>TRIM(PROPER('Raw Data'!C3))</f>
        <v>Arjun Nair</v>
      </c>
      <c r="D3" t="str">
        <f>IFERROR(VLOOKUP(B3,CustomerDB!A2:F12,3,0),"unknown")</f>
        <v>Chennai</v>
      </c>
      <c r="E3" t="str">
        <f>IFERROR(VLOOKUP(B3,CustomerDB!A2:F12,4,0),"Unknown")</f>
        <v>Tamil Nadu</v>
      </c>
      <c r="F3" s="5" t="str">
        <f>IFERROR(VLOOKUP(B3,CustomerDB!A2:F12,6,0),"Unknown")</f>
        <v>Regular</v>
      </c>
      <c r="G3" t="str">
        <f>TRIM(UPPER('Raw Data'!D3))</f>
        <v>P001</v>
      </c>
      <c r="H3" t="str">
        <f>IFERROR(VLOOKUP(G3,ProductDB!A2:F7,2,0),"Unknown")</f>
        <v>Cotton Tshirt</v>
      </c>
      <c r="I3" t="str">
        <f>IFERROR(VLOOKUP(G3,ProductDB!A2:F7,3,0),"Unknown")</f>
        <v>Fashion</v>
      </c>
      <c r="J3" s="5" t="str">
        <f>IF(TRIM(PROPER('Raw Data'!G3))="Nrth","North",TRIM(PROPER('Raw Data'!G3)))</f>
        <v>South</v>
      </c>
      <c r="K3" s="55">
        <f>IFERROR(DATEVALUE(TEXT('Raw Data'!H3,"DD-MM-YYYY")),"Invalid Date")</f>
        <v>46034</v>
      </c>
      <c r="L3" s="55" t="s">
        <v>29</v>
      </c>
      <c r="M3" s="6">
        <v>6</v>
      </c>
      <c r="N3">
        <f>IFERROR(VALUE('Raw Data'!J3),"Check")</f>
        <v>3</v>
      </c>
      <c r="O3" s="11">
        <f>IFERROR(VALUE(SUBSTITUTE('Raw Data'!K3,"₹","")),0)</f>
        <v>799</v>
      </c>
      <c r="P3" s="7">
        <f>IFERROR('Raw Data'!L3*100,0)</f>
        <v>5</v>
      </c>
      <c r="Q3" s="10">
        <f t="shared" ref="Q3:Q30" si="0">IFERROR(N3*O3*(1-P3/100),0)</f>
        <v>2277.15</v>
      </c>
      <c r="R3" s="5" t="str">
        <f>IF(TRIM('Raw Data'!M3)="","Unknown",TRIM(PROPER('Raw Data'!M3)))</f>
        <v>Pending</v>
      </c>
      <c r="S3" t="str">
        <f t="shared" ref="S3:S30" si="1">IF(O3=0,"Missing Price",IF(N3="Check","Wrong Quantity",IF(R3="Unknown","Missing Status",IF(J3="Unknown","Check Region","OK"))))</f>
        <v>OK</v>
      </c>
      <c r="T3" s="57" t="str">
        <f t="shared" ref="T3:T30" si="2">TEXT(K3,"MMM-YYYY")</f>
        <v>Jan-2026</v>
      </c>
      <c r="U3" s="16"/>
    </row>
    <row r="4" spans="1:21">
      <c r="A4" s="5" t="str">
        <f>TRIM(UPPER('Raw Data'!A4))</f>
        <v>ORD003</v>
      </c>
      <c r="B4" s="5" t="str">
        <f>TRIM(UPPER('Raw Data'!B4))</f>
        <v>C003</v>
      </c>
      <c r="C4" t="str">
        <f>TRIM(PROPER('Raw Data'!C4))</f>
        <v>Sneha Reddy</v>
      </c>
      <c r="D4" t="str">
        <f>IFERROR(VLOOKUP(B4,CustomerDB!A3:F13,3,0),"unknown")</f>
        <v>Hyderabad</v>
      </c>
      <c r="E4" t="str">
        <f>IFERROR(VLOOKUP(B4,CustomerDB!A3:F13,4,0),"Unknown")</f>
        <v>Telangana</v>
      </c>
      <c r="F4" s="5" t="str">
        <f>IFERROR(VLOOKUP(B4,CustomerDB!A3:F13,6,0),"Unknown")</f>
        <v>Regular</v>
      </c>
      <c r="G4" t="str">
        <f>TRIM(UPPER('Raw Data'!D4))</f>
        <v>P002</v>
      </c>
      <c r="H4" t="str">
        <f>IFERROR(VLOOKUP(G4,ProductDB!A3:F8,2,0),"Unknown")</f>
        <v>Face Cream</v>
      </c>
      <c r="I4" t="str">
        <f>IFERROR(VLOOKUP(G4,ProductDB!A3:F8,3,0),"Unknown")</f>
        <v>Beauty</v>
      </c>
      <c r="J4" s="5" t="str">
        <f>IF(TRIM(PROPER('Raw Data'!G4))="Nrth","North",TRIM(PROPER('Raw Data'!G4)))</f>
        <v>East</v>
      </c>
      <c r="K4" s="55">
        <f>IFERROR(DATEVALUE(TEXT('Raw Data'!H4,"DD-MM-YYYY")),"Invalid Date")</f>
        <v>46056</v>
      </c>
      <c r="L4" s="55">
        <f>IFERROR(DATEVALUE(TEXT('Raw Data'!I4,"DD-MM-YYYY")),"Invalid Date")</f>
        <v>46061</v>
      </c>
      <c r="M4" s="6">
        <f t="shared" ref="M3:M30" si="3">IFERROR(L4-K4,"N/A")</f>
        <v>5</v>
      </c>
      <c r="N4">
        <f>IFERROR(VALUE('Raw Data'!J4),"Check")</f>
        <v>1</v>
      </c>
      <c r="O4" s="11">
        <f>IFERROR(VALUE(SUBSTITUTE('Raw Data'!K4,"₹","")),0)</f>
        <v>1200</v>
      </c>
      <c r="P4" s="7">
        <f>IFERROR('Raw Data'!L4*100,0)</f>
        <v>0</v>
      </c>
      <c r="Q4" s="10">
        <f t="shared" si="0"/>
        <v>1200</v>
      </c>
      <c r="R4" s="5" t="str">
        <f>IF(TRIM('Raw Data'!M4)="","Unknown",TRIM(PROPER('Raw Data'!M4)))</f>
        <v>Delivered</v>
      </c>
      <c r="S4" t="str">
        <f t="shared" si="1"/>
        <v>OK</v>
      </c>
      <c r="T4" s="57" t="str">
        <f t="shared" si="2"/>
        <v>Feb-2026</v>
      </c>
      <c r="U4" s="17"/>
    </row>
    <row r="5" spans="1:21">
      <c r="A5" s="5" t="str">
        <f>TRIM(UPPER('Raw Data'!A5))</f>
        <v>ORD004</v>
      </c>
      <c r="B5" s="5" t="str">
        <f>TRIM(UPPER('Raw Data'!B5))</f>
        <v>C001</v>
      </c>
      <c r="C5" t="str">
        <f>TRIM(PROPER('Raw Data'!C5))</f>
        <v>Priya Sharma</v>
      </c>
      <c r="D5" t="s">
        <v>140</v>
      </c>
      <c r="E5" t="s">
        <v>141</v>
      </c>
      <c r="F5" s="5" t="s">
        <v>143</v>
      </c>
      <c r="G5" t="str">
        <f>TRIM(UPPER('Raw Data'!D5))</f>
        <v>P004</v>
      </c>
      <c r="H5" t="str">
        <f>IFERROR(VLOOKUP(G5,ProductDB!A4:F9,2,0),"Unknown")</f>
        <v>Running shoes</v>
      </c>
      <c r="I5" t="str">
        <f>IFERROR(VLOOKUP(G5,ProductDB!A4:F9,3,0),"Unknown")</f>
        <v>Sports</v>
      </c>
      <c r="J5" s="5" t="str">
        <f>IF(TRIM(PROPER('Raw Data'!G5))="Nrth","North",TRIM(PROPER('Raw Data'!G5)))</f>
        <v>North</v>
      </c>
      <c r="K5" s="55" t="s">
        <v>46</v>
      </c>
      <c r="L5" s="55" t="s">
        <v>47</v>
      </c>
      <c r="M5" s="6">
        <v>7</v>
      </c>
      <c r="N5">
        <f>IFERROR(VALUE('Raw Data'!J5),"Check")</f>
        <v>1</v>
      </c>
      <c r="O5" s="11">
        <f>IFERROR(VALUE(SUBSTITUTE('Raw Data'!K5,"₹","")),0)</f>
        <v>3500</v>
      </c>
      <c r="P5" s="7">
        <f>IFERROR('Raw Data'!L5*100,0)</f>
        <v>15</v>
      </c>
      <c r="Q5" s="10">
        <f t="shared" si="0"/>
        <v>2975</v>
      </c>
      <c r="R5" s="5" t="str">
        <f>IF(TRIM('Raw Data'!M5)="","Unknown",TRIM(PROPER('Raw Data'!M5)))</f>
        <v>Delivered</v>
      </c>
      <c r="S5" t="str">
        <f t="shared" si="1"/>
        <v>OK</v>
      </c>
      <c r="T5" s="57">
        <v>46054</v>
      </c>
      <c r="U5" s="15"/>
    </row>
    <row r="6" spans="1:21">
      <c r="A6" s="5" t="str">
        <f>TRIM(UPPER('Raw Data'!A6))</f>
        <v>ORD005</v>
      </c>
      <c r="B6" s="5" t="str">
        <f>TRIM(UPPER('Raw Data'!B6))</f>
        <v>C004</v>
      </c>
      <c r="C6" t="str">
        <f>TRIM(PROPER('Raw Data'!C6))</f>
        <v>Rahul Das</v>
      </c>
      <c r="D6" t="str">
        <f>IFERROR(VLOOKUP(B6,CustomerDB!A5:F15,3,0),"unknown")</f>
        <v>Kolkata</v>
      </c>
      <c r="E6" t="str">
        <f>IFERROR(VLOOKUP(B6,CustomerDB!A5:F15,4,0),"Unknown")</f>
        <v>West Bengal</v>
      </c>
      <c r="F6" s="5" t="str">
        <f>IFERROR(VLOOKUP(B6,CustomerDB!A5:F15,6,0),"Unknown")</f>
        <v>Premium</v>
      </c>
      <c r="G6" t="str">
        <f>TRIM(UPPER('Raw Data'!D6))</f>
        <v>P001</v>
      </c>
      <c r="H6" t="s">
        <v>26</v>
      </c>
      <c r="I6" t="s">
        <v>27</v>
      </c>
      <c r="J6" s="5" t="str">
        <f>IF(TRIM(PROPER('Raw Data'!G6))="Nrth","North",TRIM(PROPER('Raw Data'!G6)))</f>
        <v>South</v>
      </c>
      <c r="K6" s="55" t="s">
        <v>47</v>
      </c>
      <c r="L6" s="55">
        <f>IFERROR(DATEVALUE(TEXT('Raw Data'!I6,"DD-MM-YYYY")),"Invalid Date")</f>
        <v>46084</v>
      </c>
      <c r="M6" s="6">
        <v>6</v>
      </c>
      <c r="N6">
        <f>IFERROR(VALUE('Raw Data'!J6),"Check")</f>
        <v>5</v>
      </c>
      <c r="O6" s="11">
        <f>IFERROR(VALUE(SUBSTITUTE('Raw Data'!K6,"₹","")),0)</f>
        <v>799</v>
      </c>
      <c r="P6" s="7">
        <f>IFERROR('Raw Data'!L6*100,0)</f>
        <v>5</v>
      </c>
      <c r="Q6" s="10">
        <f t="shared" si="0"/>
        <v>3795.25</v>
      </c>
      <c r="R6" s="5" t="str">
        <f>IF(TRIM('Raw Data'!M6)="","Unknown",TRIM(PROPER('Raw Data'!M6)))</f>
        <v>Cancelled</v>
      </c>
      <c r="S6" t="str">
        <f t="shared" si="1"/>
        <v>OK</v>
      </c>
      <c r="T6" s="57">
        <v>46054</v>
      </c>
      <c r="U6" s="15"/>
    </row>
    <row r="7" spans="1:21">
      <c r="A7" s="5" t="str">
        <f>TRIM(UPPER('Raw Data'!A7))</f>
        <v>ORD006</v>
      </c>
      <c r="B7" s="5" t="str">
        <f>TRIM(UPPER('Raw Data'!B7))</f>
        <v>C005</v>
      </c>
      <c r="C7" t="str">
        <f>TRIM(PROPER('Raw Data'!C7))</f>
        <v>Divya Krishna</v>
      </c>
      <c r="D7" t="str">
        <f>IFERROR(VLOOKUP(B7,CustomerDB!A6:F16,3,0),"unknown")</f>
        <v>Mumbai</v>
      </c>
      <c r="E7" t="str">
        <f>IFERROR(VLOOKUP(B7,CustomerDB!A6:F16,4,0),"Unknown")</f>
        <v>Maharashtra</v>
      </c>
      <c r="F7" s="5" t="str">
        <f>IFERROR(VLOOKUP(B7,CustomerDB!A6:F16,6,0),"Unknown")</f>
        <v>Regular</v>
      </c>
      <c r="G7" t="str">
        <f>TRIM(UPPER('Raw Data'!D7))</f>
        <v>P005</v>
      </c>
      <c r="H7" t="str">
        <f>IFERROR(VLOOKUP(G7,ProductDB!A6:F11,2,0),"Unknown")</f>
        <v>Rice Cooker</v>
      </c>
      <c r="I7" t="str">
        <f>IFERROR(VLOOKUP(G7,ProductDB!A6:F11,3,0),"Unknown")</f>
        <v>Kitchen</v>
      </c>
      <c r="J7" s="5" t="str">
        <f>IF(TRIM(PROPER('Raw Data'!G7))="Nrth","North",TRIM(PROPER('Raw Data'!G7)))</f>
        <v>East</v>
      </c>
      <c r="K7" s="55">
        <f>IFERROR(DATEVALUE(TEXT('Raw Data'!H7,"DD-MM-YYYY")),"Invalid Date")</f>
        <v>46088</v>
      </c>
      <c r="L7" s="55" t="s">
        <v>60</v>
      </c>
      <c r="M7" s="6">
        <v>7</v>
      </c>
      <c r="N7">
        <f>IFERROR(VALUE('Raw Data'!J7),"Check")</f>
        <v>1</v>
      </c>
      <c r="O7" s="11">
        <f>IFERROR(VALUE(SUBSTITUTE('Raw Data'!K7,"₹","")),0)</f>
        <v>2800</v>
      </c>
      <c r="P7" s="7">
        <f>IFERROR('Raw Data'!L7*100,0)</f>
        <v>10</v>
      </c>
      <c r="Q7" s="10">
        <f t="shared" si="0"/>
        <v>2520</v>
      </c>
      <c r="R7" s="5" t="str">
        <f>IF(TRIM('Raw Data'!M7)="","Unknown",TRIM(PROPER('Raw Data'!M7)))</f>
        <v>Delivered</v>
      </c>
      <c r="S7" t="str">
        <f t="shared" si="1"/>
        <v>OK</v>
      </c>
      <c r="T7" s="57" t="str">
        <f t="shared" si="2"/>
        <v>Mar-2026</v>
      </c>
    </row>
    <row r="8" spans="1:21" ht="15.75" customHeight="1">
      <c r="A8" s="5" t="str">
        <f>TRIM(UPPER('Raw Data'!A8))</f>
        <v>ORD007</v>
      </c>
      <c r="B8" s="5" t="str">
        <f>TRIM(UPPER('Raw Data'!B8))</f>
        <v>C002</v>
      </c>
      <c r="C8" t="str">
        <f>TRIM(PROPER('Raw Data'!C8))</f>
        <v>Arjun Nair</v>
      </c>
      <c r="D8" t="s">
        <v>145</v>
      </c>
      <c r="E8" t="s">
        <v>146</v>
      </c>
      <c r="F8" s="5" t="s">
        <v>148</v>
      </c>
      <c r="G8" t="str">
        <f>TRIM(UPPER('Raw Data'!D8))</f>
        <v>P003</v>
      </c>
      <c r="H8" t="s">
        <v>17</v>
      </c>
      <c r="I8" s="5" t="s">
        <v>18</v>
      </c>
      <c r="J8" s="5" t="str">
        <f>IF(TRIM(PROPER('Raw Data'!G8))="Nrth","North",TRIM(PROPER('Raw Data'!G8)))</f>
        <v>South</v>
      </c>
      <c r="K8" s="55" t="s">
        <v>60</v>
      </c>
      <c r="L8" s="55" t="s">
        <v>65</v>
      </c>
      <c r="M8" s="6">
        <v>6</v>
      </c>
      <c r="N8">
        <f>IFERROR(VALUE('Raw Data'!J8),"Check")</f>
        <v>1</v>
      </c>
      <c r="O8" s="11">
        <f>IFERROR(VALUE(SUBSTITUTE('Raw Data'!K8,"₹","")),0)</f>
        <v>55000</v>
      </c>
      <c r="P8" s="7">
        <f>IFERROR('Raw Data'!L8*100,0)</f>
        <v>8</v>
      </c>
      <c r="Q8" s="10">
        <f t="shared" si="0"/>
        <v>50600</v>
      </c>
      <c r="R8" s="5" t="str">
        <f>IF(TRIM('Raw Data'!M8)="","Unknown",TRIM(PROPER('Raw Data'!M8)))</f>
        <v>Pending</v>
      </c>
      <c r="S8" t="str">
        <f t="shared" si="1"/>
        <v>OK</v>
      </c>
      <c r="T8" s="57">
        <v>46082</v>
      </c>
    </row>
    <row r="9" spans="1:21">
      <c r="A9" s="5" t="str">
        <f>TRIM(UPPER('Raw Data'!A9))</f>
        <v>ORD008</v>
      </c>
      <c r="B9" s="5" t="str">
        <f>TRIM(UPPER('Raw Data'!B9))</f>
        <v>C006</v>
      </c>
      <c r="C9" t="str">
        <f>TRIM(PROPER('Raw Data'!C9))</f>
        <v>Meera Nair</v>
      </c>
      <c r="D9" t="s">
        <v>160</v>
      </c>
      <c r="E9" t="s">
        <v>161</v>
      </c>
      <c r="F9" s="5" t="s">
        <v>143</v>
      </c>
      <c r="G9" t="str">
        <f>TRIM(UPPER('Raw Data'!D9))</f>
        <v>P002</v>
      </c>
      <c r="H9" t="s">
        <v>36</v>
      </c>
      <c r="I9" t="s">
        <v>37</v>
      </c>
      <c r="J9" s="5" t="str">
        <f>IF(TRIM(PROPER('Raw Data'!G9))="Nrth","North",TRIM(PROPER('Raw Data'!G9)))</f>
        <v>North</v>
      </c>
      <c r="K9" s="55" t="s">
        <v>70</v>
      </c>
      <c r="L9" s="55" t="s">
        <v>71</v>
      </c>
      <c r="M9" s="6">
        <v>6</v>
      </c>
      <c r="N9">
        <f>IFERROR(VALUE('Raw Data'!J9),"Check")</f>
        <v>2</v>
      </c>
      <c r="O9" s="11">
        <f>IFERROR(VALUE(SUBSTITUTE('Raw Data'!K9,"₹","")),0)</f>
        <v>1200</v>
      </c>
      <c r="P9" s="7">
        <f>IFERROR('Raw Data'!L9*100,0)</f>
        <v>0</v>
      </c>
      <c r="Q9" s="10">
        <f t="shared" si="0"/>
        <v>2400</v>
      </c>
      <c r="R9" s="5" t="str">
        <f>IF(TRIM('Raw Data'!M9)="","Unknown",TRIM(PROPER('Raw Data'!M9)))</f>
        <v>Delivered</v>
      </c>
      <c r="S9" t="str">
        <f t="shared" si="1"/>
        <v>OK</v>
      </c>
      <c r="T9" s="57">
        <v>46082</v>
      </c>
    </row>
    <row r="10" spans="1:21">
      <c r="A10" s="5" t="str">
        <f>TRIM(UPPER('Raw Data'!A10))</f>
        <v>ORD009</v>
      </c>
      <c r="B10" s="5" t="str">
        <f>TRIM(UPPER('Raw Data'!B10))</f>
        <v>C003</v>
      </c>
      <c r="C10" t="str">
        <f>TRIM(PROPER('Raw Data'!C10))</f>
        <v>Sneha Reddy</v>
      </c>
      <c r="D10" t="s">
        <v>150</v>
      </c>
      <c r="E10" t="s">
        <v>151</v>
      </c>
      <c r="F10" s="5" t="s">
        <v>148</v>
      </c>
      <c r="G10" t="str">
        <f>TRIM(UPPER('Raw Data'!D10))</f>
        <v>P004</v>
      </c>
      <c r="H10" t="s">
        <v>43</v>
      </c>
      <c r="I10" t="s">
        <v>44</v>
      </c>
      <c r="J10" s="5" t="str">
        <f>IF(TRIM(PROPER('Raw Data'!G10))="Nrth","North",TRIM(PROPER('Raw Data'!G10)))</f>
        <v>East</v>
      </c>
      <c r="K10" s="55">
        <f>IFERROR(DATEVALUE(TEXT('Raw Data'!H10,"DD-MM-YYYY")),"Invalid Date")</f>
        <v>46113</v>
      </c>
      <c r="L10" s="55">
        <f>IFERROR(DATEVALUE(TEXT('Raw Data'!I10,"DD-MM-YYYY")),"Invalid Date")</f>
        <v>46119</v>
      </c>
      <c r="M10" s="6">
        <f t="shared" si="3"/>
        <v>6</v>
      </c>
      <c r="N10">
        <f>IFERROR(VALUE('Raw Data'!J10),"Check")</f>
        <v>3</v>
      </c>
      <c r="O10" s="11">
        <f>IFERROR(VALUE(SUBSTITUTE('Raw Data'!K10,"₹","")),0)</f>
        <v>3500</v>
      </c>
      <c r="P10" s="7">
        <f>IFERROR('Raw Data'!L10*100,0)</f>
        <v>10</v>
      </c>
      <c r="Q10" s="10">
        <f t="shared" si="0"/>
        <v>9450</v>
      </c>
      <c r="R10" s="5" t="str">
        <f>IF(TRIM('Raw Data'!M10)="","Unknown",TRIM(PROPER('Raw Data'!M10)))</f>
        <v>Delivered</v>
      </c>
      <c r="S10" t="str">
        <f t="shared" si="1"/>
        <v>OK</v>
      </c>
      <c r="T10" s="57" t="str">
        <f t="shared" si="2"/>
        <v>Apr-2026</v>
      </c>
      <c r="U10" s="19"/>
    </row>
    <row r="11" spans="1:21">
      <c r="A11" s="5" t="str">
        <f>TRIM(UPPER('Raw Data'!A11))</f>
        <v>ORD010</v>
      </c>
      <c r="B11" s="5" t="str">
        <f>TRIM(UPPER('Raw Data'!B11))</f>
        <v>C007</v>
      </c>
      <c r="C11" t="str">
        <f>TRIM(PROPER('Raw Data'!C11))</f>
        <v>Kiran Rao</v>
      </c>
      <c r="D11" t="s">
        <v>164</v>
      </c>
      <c r="E11" t="s">
        <v>157</v>
      </c>
      <c r="F11" s="5" t="s">
        <v>148</v>
      </c>
      <c r="G11" t="str">
        <f>TRIM(UPPER('Raw Data'!D11))</f>
        <v>P005</v>
      </c>
      <c r="H11" t="s">
        <v>57</v>
      </c>
      <c r="I11" t="s">
        <v>58</v>
      </c>
      <c r="J11" s="5" t="str">
        <f>IF(TRIM(PROPER('Raw Data'!G11))="Nrth","North",TRIM(PROPER('Raw Data'!G11)))</f>
        <v>West</v>
      </c>
      <c r="K11" s="55">
        <f>IFERROR(DATEVALUE(TEXT('Raw Data'!H11,"DD-MM-YYYY")),"Invalid Date")</f>
        <v>46120</v>
      </c>
      <c r="L11" s="55" t="s">
        <v>77</v>
      </c>
      <c r="M11" s="6">
        <v>7</v>
      </c>
      <c r="N11">
        <f>IFERROR(VALUE('Raw Data'!J11),"Check")</f>
        <v>2</v>
      </c>
      <c r="O11" s="11">
        <f>IFERROR(VALUE(SUBSTITUTE('Raw Data'!K11,"₹","")),0)</f>
        <v>2800</v>
      </c>
      <c r="P11" s="7">
        <f>IFERROR('Raw Data'!L11*100,0)</f>
        <v>5</v>
      </c>
      <c r="Q11" s="10">
        <f t="shared" si="0"/>
        <v>5320</v>
      </c>
      <c r="R11" s="5" t="str">
        <f>IF(TRIM('Raw Data'!M11)="","Unknown",TRIM(PROPER('Raw Data'!M11)))</f>
        <v>Delivered</v>
      </c>
      <c r="S11" t="str">
        <f t="shared" si="1"/>
        <v>OK</v>
      </c>
      <c r="T11" s="57" t="str">
        <f t="shared" si="2"/>
        <v>Apr-2026</v>
      </c>
    </row>
    <row r="12" spans="1:21">
      <c r="A12" s="5" t="str">
        <f>TRIM(UPPER('Raw Data'!A12))</f>
        <v>ORD011</v>
      </c>
      <c r="B12" s="5" t="str">
        <f>TRIM(UPPER('Raw Data'!B12))</f>
        <v>C008</v>
      </c>
      <c r="C12" t="str">
        <f>TRIM(PROPER('Raw Data'!C12))</f>
        <v>Pooja Singh</v>
      </c>
      <c r="D12" t="s">
        <v>167</v>
      </c>
      <c r="E12" t="s">
        <v>167</v>
      </c>
      <c r="F12" s="5" t="s">
        <v>148</v>
      </c>
      <c r="G12" t="str">
        <f>TRIM(UPPER('Raw Data'!D12))</f>
        <v>P001</v>
      </c>
      <c r="H12" t="s">
        <v>26</v>
      </c>
      <c r="I12" t="s">
        <v>27</v>
      </c>
      <c r="J12" s="5" t="str">
        <f>IF(TRIM(PROPER('Raw Data'!G12))="Nrth","North",TRIM(PROPER('Raw Data'!G12)))</f>
        <v>North</v>
      </c>
      <c r="K12" s="55" t="s">
        <v>77</v>
      </c>
      <c r="L12" s="55" t="s">
        <v>81</v>
      </c>
      <c r="M12" s="6">
        <v>6</v>
      </c>
      <c r="N12">
        <f>IFERROR(VALUE('Raw Data'!J12),"Check")</f>
        <v>4</v>
      </c>
      <c r="O12" s="11">
        <f>IFERROR(VALUE(SUBSTITUTE('Raw Data'!K12,"₹","")),0)</f>
        <v>799</v>
      </c>
      <c r="P12" s="7">
        <f>IFERROR('Raw Data'!L12*100,0)</f>
        <v>0</v>
      </c>
      <c r="Q12" s="10">
        <f t="shared" si="0"/>
        <v>3196</v>
      </c>
      <c r="R12" s="5" t="str">
        <f>IF(TRIM('Raw Data'!M12)="","Unknown",TRIM(PROPER('Raw Data'!M12)))</f>
        <v>Delivered</v>
      </c>
      <c r="S12" t="str">
        <f t="shared" si="1"/>
        <v>OK</v>
      </c>
      <c r="T12" s="57">
        <v>46113</v>
      </c>
    </row>
    <row r="13" spans="1:21" ht="17.25" customHeight="1">
      <c r="A13" s="5" t="str">
        <f>TRIM(UPPER('Raw Data'!A13))</f>
        <v>ORD012</v>
      </c>
      <c r="B13" s="5" t="str">
        <f>TRIM(UPPER('Raw Data'!B13))</f>
        <v>C004</v>
      </c>
      <c r="C13" t="str">
        <f>TRIM(PROPER('Raw Data'!C13))</f>
        <v>Rahul Das</v>
      </c>
      <c r="D13" t="s">
        <v>153</v>
      </c>
      <c r="E13" t="s">
        <v>154</v>
      </c>
      <c r="F13" s="5" t="s">
        <v>143</v>
      </c>
      <c r="G13" t="str">
        <f>TRIM(UPPER('Raw Data'!D13))</f>
        <v>P003</v>
      </c>
      <c r="H13" t="s">
        <v>17</v>
      </c>
      <c r="I13" s="5" t="s">
        <v>18</v>
      </c>
      <c r="J13" s="5" t="str">
        <f>IF(TRIM(PROPER('Raw Data'!G13))="Nrth","North",TRIM(PROPER('Raw Data'!G13)))</f>
        <v>South</v>
      </c>
      <c r="K13" s="55" t="s">
        <v>84</v>
      </c>
      <c r="L13" s="55" t="s">
        <v>85</v>
      </c>
      <c r="M13" s="6">
        <v>7</v>
      </c>
      <c r="N13">
        <f>IFERROR(VALUE('Raw Data'!J13),"Check")</f>
        <v>1</v>
      </c>
      <c r="O13" s="11">
        <f>IFERROR(VALUE(SUBSTITUTE('Raw Data'!K13,"₹","")),0)</f>
        <v>55000</v>
      </c>
      <c r="P13" s="7">
        <f>IFERROR('Raw Data'!L13*100,0)</f>
        <v>12</v>
      </c>
      <c r="Q13" s="10">
        <v>48400</v>
      </c>
      <c r="R13" s="5" t="str">
        <f>IF(TRIM('Raw Data'!M13)="","Unknown",TRIM(PROPER('Raw Data'!M13)))</f>
        <v>Delivered</v>
      </c>
      <c r="S13" t="str">
        <f t="shared" si="1"/>
        <v>OK</v>
      </c>
      <c r="T13" s="57">
        <v>46113</v>
      </c>
    </row>
    <row r="14" spans="1:21">
      <c r="A14" s="5" t="str">
        <f>TRIM(UPPER('Raw Data'!A14))</f>
        <v>ORD013</v>
      </c>
      <c r="B14" s="5" t="str">
        <f>TRIM(UPPER('Raw Data'!B14))</f>
        <v>C009</v>
      </c>
      <c r="C14" t="str">
        <f>TRIM(PROPER('Raw Data'!C14))</f>
        <v>Arun Kumar</v>
      </c>
      <c r="D14" s="5" t="s">
        <v>169</v>
      </c>
      <c r="E14" t="s">
        <v>170</v>
      </c>
      <c r="F14" s="5" t="s">
        <v>143</v>
      </c>
      <c r="G14" t="str">
        <f>TRIM(UPPER('Raw Data'!D14))</f>
        <v>P002</v>
      </c>
      <c r="H14" t="s">
        <v>36</v>
      </c>
      <c r="I14" t="s">
        <v>37</v>
      </c>
      <c r="J14" s="5" t="str">
        <f>IF(TRIM(PROPER('Raw Data'!G14))="Nrth","North",TRIM(PROPER('Raw Data'!G14)))</f>
        <v>East</v>
      </c>
      <c r="K14" s="55" t="s">
        <v>89</v>
      </c>
      <c r="L14" s="55">
        <f>IFERROR(DATEVALUE(TEXT('Raw Data'!I14,"DD-MM-YYYY")),"Invalid Date")</f>
        <v>46146</v>
      </c>
      <c r="M14" s="6">
        <v>6</v>
      </c>
      <c r="N14">
        <f>IFERROR(VALUE('Raw Data'!J14),"Check")</f>
        <v>3</v>
      </c>
      <c r="O14" s="11">
        <f>IFERROR(VALUE(SUBSTITUTE('Raw Data'!K14,"₹","")),0)</f>
        <v>1200</v>
      </c>
      <c r="P14" s="7">
        <f>IFERROR('Raw Data'!L14*100,0)</f>
        <v>5</v>
      </c>
      <c r="Q14" s="10">
        <f t="shared" si="0"/>
        <v>3420</v>
      </c>
      <c r="R14" s="5" t="str">
        <f>IF(TRIM('Raw Data'!M14)="","Unknown",TRIM(PROPER('Raw Data'!M14)))</f>
        <v>Pending</v>
      </c>
      <c r="S14" t="str">
        <f t="shared" si="1"/>
        <v>OK</v>
      </c>
      <c r="T14" s="57">
        <v>46113</v>
      </c>
    </row>
    <row r="15" spans="1:21">
      <c r="A15" s="5" t="str">
        <f>TRIM(UPPER('Raw Data'!A15))</f>
        <v>ORD014</v>
      </c>
      <c r="B15" s="5" t="str">
        <f>TRIM(UPPER('Raw Data'!B15))</f>
        <v>C005</v>
      </c>
      <c r="C15" t="str">
        <f>TRIM(PROPER('Raw Data'!C15))</f>
        <v>Divya Krishna</v>
      </c>
      <c r="D15" t="s">
        <v>156</v>
      </c>
      <c r="E15" t="s">
        <v>157</v>
      </c>
      <c r="F15" s="5" t="s">
        <v>148</v>
      </c>
      <c r="G15" t="str">
        <f>TRIM(UPPER('Raw Data'!D15))</f>
        <v>P005</v>
      </c>
      <c r="H15" t="s">
        <v>57</v>
      </c>
      <c r="I15" t="s">
        <v>58</v>
      </c>
      <c r="J15" s="5" t="str">
        <f>IF(TRIM(PROPER('Raw Data'!G15))="Nrth","North",TRIM(PROPER('Raw Data'!G15)))</f>
        <v>West</v>
      </c>
      <c r="K15" s="55">
        <f>IFERROR(DATEVALUE(TEXT('Raw Data'!H15,"DD-MM-YYYY")),"Invalid Date")</f>
        <v>46147</v>
      </c>
      <c r="L15" s="55">
        <v>46361</v>
      </c>
      <c r="M15" s="6">
        <v>7</v>
      </c>
      <c r="N15">
        <f>IFERROR(VALUE('Raw Data'!J15),"Check")</f>
        <v>1</v>
      </c>
      <c r="O15" s="11">
        <f>IFERROR(VALUE(SUBSTITUTE('Raw Data'!K15,"₹","")),0)</f>
        <v>2800</v>
      </c>
      <c r="P15" s="7">
        <f>IFERROR('Raw Data'!L15*100,0)</f>
        <v>0</v>
      </c>
      <c r="Q15" s="10">
        <f t="shared" si="0"/>
        <v>2800</v>
      </c>
      <c r="R15" s="5" t="str">
        <f>IF(TRIM('Raw Data'!M15)="","Unknown",TRIM(PROPER('Raw Data'!M15)))</f>
        <v>Delivered</v>
      </c>
      <c r="S15" t="str">
        <f t="shared" si="1"/>
        <v>OK</v>
      </c>
      <c r="T15" s="57" t="str">
        <f t="shared" si="2"/>
        <v>May-2026</v>
      </c>
    </row>
    <row r="16" spans="1:21">
      <c r="A16" s="5" t="str">
        <f>TRIM(UPPER('Raw Data'!A16))</f>
        <v>ORD015</v>
      </c>
      <c r="B16" s="5" t="str">
        <f>TRIM(UPPER('Raw Data'!B16))</f>
        <v>C010</v>
      </c>
      <c r="C16" t="str">
        <f>TRIM(PROPER('Raw Data'!C16))</f>
        <v>Vijay Kumar</v>
      </c>
      <c r="D16" t="s">
        <v>173</v>
      </c>
      <c r="E16" t="s">
        <v>174</v>
      </c>
      <c r="F16" s="5" t="s">
        <v>148</v>
      </c>
      <c r="G16" t="str">
        <f>TRIM(UPPER('Raw Data'!D16))</f>
        <v>P004</v>
      </c>
      <c r="H16" t="s">
        <v>43</v>
      </c>
      <c r="I16" t="s">
        <v>44</v>
      </c>
      <c r="J16" s="5" t="str">
        <f>IF(TRIM(PROPER('Raw Data'!G16))="Nrth","North",TRIM(PROPER('Raw Data'!G16)))</f>
        <v>North</v>
      </c>
      <c r="K16" s="55">
        <f>IFERROR(DATEVALUE(TEXT('Raw Data'!H16,"DD-MM-YYYY")),"Invalid Date")</f>
        <v>46154</v>
      </c>
      <c r="L16" s="55" t="s">
        <v>96</v>
      </c>
      <c r="M16" s="6">
        <v>7</v>
      </c>
      <c r="N16">
        <f>IFERROR(VALUE('Raw Data'!J16),"Check")</f>
        <v>2</v>
      </c>
      <c r="O16" s="11">
        <f>IFERROR(VALUE(SUBSTITUTE('Raw Data'!K16,"₹","")),0)</f>
        <v>3500</v>
      </c>
      <c r="P16" s="7">
        <f>IFERROR('Raw Data'!L16*100,0)</f>
        <v>8</v>
      </c>
      <c r="Q16" s="10">
        <f t="shared" si="0"/>
        <v>6440</v>
      </c>
      <c r="R16" s="5" t="str">
        <f>IF(TRIM('Raw Data'!M16)="","Unknown",TRIM(PROPER('Raw Data'!M16)))</f>
        <v>Delivered</v>
      </c>
      <c r="S16" t="str">
        <f t="shared" si="1"/>
        <v>OK</v>
      </c>
      <c r="T16" s="57" t="str">
        <f t="shared" si="2"/>
        <v>May-2026</v>
      </c>
    </row>
    <row r="17" spans="1:20">
      <c r="A17" s="5" t="str">
        <f>TRIM(UPPER('Raw Data'!A17))</f>
        <v>ORD016</v>
      </c>
      <c r="B17" s="5" t="str">
        <f>TRIM(UPPER('Raw Data'!B17))</f>
        <v>C001</v>
      </c>
      <c r="C17" t="str">
        <f>TRIM(PROPER('Raw Data'!C17))</f>
        <v>Priya Sharma</v>
      </c>
      <c r="D17" t="s">
        <v>140</v>
      </c>
      <c r="E17" t="s">
        <v>141</v>
      </c>
      <c r="F17" s="5" t="s">
        <v>143</v>
      </c>
      <c r="G17" t="str">
        <f>TRIM(UPPER('Raw Data'!D17))</f>
        <v>P001</v>
      </c>
      <c r="H17" t="s">
        <v>26</v>
      </c>
      <c r="I17" t="s">
        <v>27</v>
      </c>
      <c r="J17" s="5" t="str">
        <f>IF(TRIM(PROPER('Raw Data'!G17))="Nrth","North",TRIM(PROPER('Raw Data'!G17)))</f>
        <v>North</v>
      </c>
      <c r="K17" s="55" t="s">
        <v>98</v>
      </c>
      <c r="L17" s="55" t="s">
        <v>99</v>
      </c>
      <c r="M17" s="6">
        <v>6</v>
      </c>
      <c r="N17">
        <f>IFERROR(VALUE('Raw Data'!J17),"Check")</f>
        <v>6</v>
      </c>
      <c r="O17" s="11">
        <f>IFERROR(VALUE(SUBSTITUTE('Raw Data'!K17,"₹","")),0)</f>
        <v>799</v>
      </c>
      <c r="P17" s="7">
        <f>IFERROR('Raw Data'!L17*100,0)</f>
        <v>10</v>
      </c>
      <c r="Q17" s="10">
        <f t="shared" si="0"/>
        <v>4314.6000000000004</v>
      </c>
      <c r="R17" s="5" t="str">
        <f>IF(TRIM('Raw Data'!M17)="","Unknown",TRIM(PROPER('Raw Data'!M17)))</f>
        <v>Delivered</v>
      </c>
      <c r="S17" t="str">
        <f t="shared" si="1"/>
        <v>OK</v>
      </c>
      <c r="T17" s="57">
        <v>46143</v>
      </c>
    </row>
    <row r="18" spans="1:20" ht="17.25" customHeight="1">
      <c r="A18" s="5" t="str">
        <f>TRIM(UPPER('Raw Data'!A18))</f>
        <v>ORD017</v>
      </c>
      <c r="B18" s="5" t="str">
        <f>TRIM(UPPER('Raw Data'!B18))</f>
        <v>C006</v>
      </c>
      <c r="C18" t="str">
        <f>TRIM(PROPER('Raw Data'!C18))</f>
        <v>Meera Nair</v>
      </c>
      <c r="D18" t="s">
        <v>160</v>
      </c>
      <c r="E18" t="s">
        <v>161</v>
      </c>
      <c r="F18" s="5" t="s">
        <v>143</v>
      </c>
      <c r="G18" t="str">
        <f>TRIM(UPPER('Raw Data'!D18))</f>
        <v>P003</v>
      </c>
      <c r="H18" t="s">
        <v>17</v>
      </c>
      <c r="I18" s="5" t="s">
        <v>18</v>
      </c>
      <c r="J18" s="5" t="str">
        <f>IF(TRIM(PROPER('Raw Data'!G18))="Nrth","North",TRIM(PROPER('Raw Data'!G18)))</f>
        <v>East</v>
      </c>
      <c r="K18" s="55" t="s">
        <v>101</v>
      </c>
      <c r="L18" s="55" t="s">
        <v>102</v>
      </c>
      <c r="M18" s="6">
        <v>6</v>
      </c>
      <c r="N18">
        <f>IFERROR(VALUE('Raw Data'!J18),"Check")</f>
        <v>1</v>
      </c>
      <c r="O18" s="11">
        <f>IFERROR(VALUE(SUBSTITUTE('Raw Data'!K18,"₹","")),0)</f>
        <v>55000</v>
      </c>
      <c r="P18" s="7">
        <f>IFERROR('Raw Data'!L18*100,0)</f>
        <v>5</v>
      </c>
      <c r="Q18" s="10">
        <f t="shared" si="0"/>
        <v>52250</v>
      </c>
      <c r="R18" s="5" t="str">
        <f>IF(TRIM('Raw Data'!M18)="","Unknown",TRIM(PROPER('Raw Data'!M18)))</f>
        <v>Delivered</v>
      </c>
      <c r="S18" t="str">
        <f t="shared" si="1"/>
        <v>OK</v>
      </c>
      <c r="T18" s="57">
        <v>46143</v>
      </c>
    </row>
    <row r="19" spans="1:20">
      <c r="A19" s="5" t="str">
        <f>TRIM(UPPER('Raw Data'!A19))</f>
        <v>ORD018</v>
      </c>
      <c r="B19" s="5" t="str">
        <f>TRIM(UPPER('Raw Data'!B19))</f>
        <v>C002</v>
      </c>
      <c r="C19" t="str">
        <f>TRIM(PROPER('Raw Data'!C19))</f>
        <v>Arjun Nair</v>
      </c>
      <c r="D19" t="s">
        <v>145</v>
      </c>
      <c r="E19" t="s">
        <v>146</v>
      </c>
      <c r="F19" s="5" t="s">
        <v>148</v>
      </c>
      <c r="G19" t="str">
        <f>TRIM(UPPER('Raw Data'!D19))</f>
        <v>P002</v>
      </c>
      <c r="H19" t="s">
        <v>36</v>
      </c>
      <c r="I19" t="s">
        <v>37</v>
      </c>
      <c r="J19" s="5" t="str">
        <f>IF(TRIM(PROPER('Raw Data'!G19))="Nrth","North",TRIM(PROPER('Raw Data'!G19)))</f>
        <v>South</v>
      </c>
      <c r="K19" s="55">
        <f>IFERROR(DATEVALUE(TEXT('Raw Data'!H19,"DD-MM-YYYY")),"Invalid Date")</f>
        <v>46174</v>
      </c>
      <c r="L19" s="55">
        <f>IFERROR(DATEVALUE(TEXT('Raw Data'!I19,"DD-MM-YYYY")),"Invalid Date")</f>
        <v>46180</v>
      </c>
      <c r="M19" s="6">
        <f t="shared" si="3"/>
        <v>6</v>
      </c>
      <c r="N19">
        <f>IFERROR(VALUE('Raw Data'!J19),"Check")</f>
        <v>2</v>
      </c>
      <c r="O19" s="11">
        <f>IFERROR(VALUE(SUBSTITUTE('Raw Data'!K19,"₹","")),0)</f>
        <v>1200</v>
      </c>
      <c r="P19" s="7">
        <f>IFERROR('Raw Data'!L19*100,0)</f>
        <v>0</v>
      </c>
      <c r="Q19" s="10">
        <f t="shared" si="0"/>
        <v>2400</v>
      </c>
      <c r="R19" s="5" t="str">
        <f>IF(TRIM('Raw Data'!M19)="","Unknown",TRIM(PROPER('Raw Data'!M19)))</f>
        <v>Pending</v>
      </c>
      <c r="S19" t="str">
        <f t="shared" si="1"/>
        <v>OK</v>
      </c>
      <c r="T19" s="57" t="str">
        <f t="shared" si="2"/>
        <v>Jun-2026</v>
      </c>
    </row>
    <row r="20" spans="1:20">
      <c r="A20" s="5" t="str">
        <f>TRIM(UPPER('Raw Data'!A20))</f>
        <v>ORD019</v>
      </c>
      <c r="B20" s="5" t="str">
        <f>TRIM(UPPER('Raw Data'!B20))</f>
        <v>C007</v>
      </c>
      <c r="C20" t="str">
        <f>TRIM(PROPER('Raw Data'!C20))</f>
        <v>Kiran Rao</v>
      </c>
      <c r="D20" t="s">
        <v>164</v>
      </c>
      <c r="E20" t="s">
        <v>157</v>
      </c>
      <c r="F20" s="5" t="s">
        <v>148</v>
      </c>
      <c r="G20" t="str">
        <f>TRIM(UPPER('Raw Data'!D20))</f>
        <v>P004</v>
      </c>
      <c r="H20" t="s">
        <v>43</v>
      </c>
      <c r="I20" t="s">
        <v>44</v>
      </c>
      <c r="J20" s="5" t="str">
        <f>IF(TRIM(PROPER('Raw Data'!G20))="Nrth","North",TRIM(PROPER('Raw Data'!G20)))</f>
        <v>West</v>
      </c>
      <c r="K20" s="55">
        <f>IFERROR(DATEVALUE(TEXT('Raw Data'!H20,"DD-MM-YYYY")),"Invalid Date")</f>
        <v>46178</v>
      </c>
      <c r="L20" s="55">
        <f>IFERROR(DATEVALUE(TEXT('Raw Data'!I20,"DD-MM-YYYY")),"Invalid Date")</f>
        <v>46185</v>
      </c>
      <c r="M20" s="6">
        <f t="shared" si="3"/>
        <v>7</v>
      </c>
      <c r="N20">
        <f>IFERROR(VALUE('Raw Data'!J20),"Check")</f>
        <v>3</v>
      </c>
      <c r="O20" s="11">
        <f>IFERROR(VALUE(SUBSTITUTE('Raw Data'!K20,"₹","")),0)</f>
        <v>3500</v>
      </c>
      <c r="P20" s="7">
        <f>IFERROR('Raw Data'!L20*100,0)</f>
        <v>15</v>
      </c>
      <c r="Q20" s="10">
        <f t="shared" si="0"/>
        <v>8925</v>
      </c>
      <c r="R20" s="5" t="str">
        <f>IF(TRIM('Raw Data'!M20)="","Unknown",TRIM(PROPER('Raw Data'!M20)))</f>
        <v>Delivered</v>
      </c>
      <c r="S20" t="str">
        <f t="shared" si="1"/>
        <v>OK</v>
      </c>
      <c r="T20" s="57" t="str">
        <f t="shared" si="2"/>
        <v>Jun-2026</v>
      </c>
    </row>
    <row r="21" spans="1:20">
      <c r="A21" s="5" t="str">
        <f>TRIM(UPPER('Raw Data'!A21))</f>
        <v>ORD020</v>
      </c>
      <c r="B21" s="5" t="str">
        <f>TRIM(UPPER('Raw Data'!B21))</f>
        <v>C008</v>
      </c>
      <c r="C21" t="str">
        <f>TRIM(PROPER('Raw Data'!C21))</f>
        <v>Pooja Singh</v>
      </c>
      <c r="D21" t="s">
        <v>167</v>
      </c>
      <c r="E21" t="s">
        <v>167</v>
      </c>
      <c r="F21" s="5" t="s">
        <v>148</v>
      </c>
      <c r="G21" t="str">
        <f>TRIM(UPPER('Raw Data'!D21))</f>
        <v>P005</v>
      </c>
      <c r="H21" t="s">
        <v>57</v>
      </c>
      <c r="I21" t="s">
        <v>58</v>
      </c>
      <c r="J21" s="5" t="str">
        <f>IF(TRIM(PROPER('Raw Data'!G21))="Nrth","North",TRIM(PROPER('Raw Data'!G21)))</f>
        <v>North</v>
      </c>
      <c r="K21" s="55">
        <f>IFERROR(DATEVALUE(TEXT('Raw Data'!H21,"DD-MM-YYYY")),"Invalid Date")</f>
        <v>46183</v>
      </c>
      <c r="L21" s="55" t="s">
        <v>107</v>
      </c>
      <c r="M21" s="6">
        <v>7</v>
      </c>
      <c r="N21">
        <f>IFERROR(VALUE('Raw Data'!J21),"Check")</f>
        <v>1</v>
      </c>
      <c r="O21" s="11">
        <f>IFERROR(VALUE(SUBSTITUTE('Raw Data'!K21,"₹","")),0)</f>
        <v>2800</v>
      </c>
      <c r="P21" s="7">
        <f>IFERROR('Raw Data'!L21*100,0)</f>
        <v>10</v>
      </c>
      <c r="Q21" s="10">
        <f t="shared" si="0"/>
        <v>2520</v>
      </c>
      <c r="R21" s="5" t="str">
        <f>IF(TRIM('Raw Data'!M21)="","Unknown",TRIM(PROPER('Raw Data'!M21)))</f>
        <v>Delivered</v>
      </c>
      <c r="S21" t="str">
        <f t="shared" si="1"/>
        <v>OK</v>
      </c>
      <c r="T21" s="57" t="str">
        <f t="shared" si="2"/>
        <v>Jun-2026</v>
      </c>
    </row>
    <row r="22" spans="1:20">
      <c r="A22" s="5" t="str">
        <f>TRIM(UPPER('Raw Data'!A22))</f>
        <v>ORD021</v>
      </c>
      <c r="B22" s="5" t="str">
        <f>TRIM(UPPER('Raw Data'!B22))</f>
        <v>C009</v>
      </c>
      <c r="C22" t="str">
        <f>TRIM(PROPER('Raw Data'!C22))</f>
        <v>Arun Kumar</v>
      </c>
      <c r="D22" t="s">
        <v>169</v>
      </c>
      <c r="E22" t="s">
        <v>170</v>
      </c>
      <c r="F22" s="5" t="s">
        <v>143</v>
      </c>
      <c r="G22" t="str">
        <f>TRIM(UPPER('Raw Data'!D22))</f>
        <v>P001</v>
      </c>
      <c r="H22" t="s">
        <v>26</v>
      </c>
      <c r="I22" t="s">
        <v>27</v>
      </c>
      <c r="J22" s="5" t="str">
        <f>IF(TRIM(PROPER('Raw Data'!G22))="Nrth","North",TRIM(PROPER('Raw Data'!G22)))</f>
        <v>East</v>
      </c>
      <c r="K22" s="55">
        <f>IFERROR(DATEVALUE(TEXT('Raw Data'!H22,"DD-MM-YYYY")),"Invalid Date")</f>
        <v>46185</v>
      </c>
      <c r="L22" s="55" t="s">
        <v>110</v>
      </c>
      <c r="M22" s="6">
        <v>6</v>
      </c>
      <c r="N22">
        <f>IFERROR(VALUE('Raw Data'!J22),"Check")</f>
        <v>2</v>
      </c>
      <c r="O22" s="11">
        <f>IFERROR(VALUE(SUBSTITUTE('Raw Data'!K22,"₹","")),0)</f>
        <v>799</v>
      </c>
      <c r="P22" s="7">
        <f>IFERROR('Raw Data'!L22*100,0)</f>
        <v>5</v>
      </c>
      <c r="Q22" s="10">
        <f t="shared" si="0"/>
        <v>1518.1</v>
      </c>
      <c r="R22" s="5" t="str">
        <f>IF(TRIM('Raw Data'!M22)="","Unknown",TRIM(PROPER('Raw Data'!M22)))</f>
        <v>Delivered</v>
      </c>
      <c r="S22" t="str">
        <f t="shared" si="1"/>
        <v>OK</v>
      </c>
      <c r="T22" s="57" t="str">
        <f t="shared" si="2"/>
        <v>Jun-2026</v>
      </c>
    </row>
    <row r="23" spans="1:20" ht="17.25" customHeight="1">
      <c r="A23" s="5" t="str">
        <f>TRIM(UPPER('Raw Data'!A23))</f>
        <v>ORD022</v>
      </c>
      <c r="B23" s="5" t="str">
        <f>TRIM(UPPER('Raw Data'!B23))</f>
        <v>C010</v>
      </c>
      <c r="C23" t="str">
        <f>TRIM(PROPER('Raw Data'!C23))</f>
        <v>Vijay Kumar</v>
      </c>
      <c r="D23" t="s">
        <v>173</v>
      </c>
      <c r="E23" t="s">
        <v>174</v>
      </c>
      <c r="F23" s="5" t="s">
        <v>148</v>
      </c>
      <c r="G23" t="str">
        <f>TRIM(UPPER('Raw Data'!D23))</f>
        <v>P003</v>
      </c>
      <c r="H23" t="s">
        <v>17</v>
      </c>
      <c r="I23" s="5" t="s">
        <v>18</v>
      </c>
      <c r="J23" s="5" t="str">
        <f>IF(TRIM(PROPER('Raw Data'!G23))="Nrth","North",TRIM(PROPER('Raw Data'!G23)))</f>
        <v>South</v>
      </c>
      <c r="K23" s="55" t="s">
        <v>112</v>
      </c>
      <c r="L23" s="55" t="s">
        <v>113</v>
      </c>
      <c r="M23" s="6">
        <v>7</v>
      </c>
      <c r="N23">
        <f>IFERROR(VALUE('Raw Data'!J23),"Check")</f>
        <v>1</v>
      </c>
      <c r="O23" s="11">
        <f>IFERROR(VALUE(SUBSTITUTE('Raw Data'!K23,"₹","")),0)</f>
        <v>55000</v>
      </c>
      <c r="P23" s="7">
        <f>IFERROR('Raw Data'!L23*100,0)</f>
        <v>0</v>
      </c>
      <c r="Q23" s="10">
        <f t="shared" si="0"/>
        <v>55000</v>
      </c>
      <c r="R23" s="5" t="str">
        <f>IF(TRIM('Raw Data'!M23)="","Unknown",TRIM(PROPER('Raw Data'!M23)))</f>
        <v>Pending</v>
      </c>
      <c r="S23" t="str">
        <f t="shared" si="1"/>
        <v>OK</v>
      </c>
      <c r="T23" s="57">
        <v>46174</v>
      </c>
    </row>
    <row r="24" spans="1:20">
      <c r="A24" s="5" t="str">
        <f>TRIM(UPPER('Raw Data'!A24))</f>
        <v>ORD023</v>
      </c>
      <c r="B24" s="5" t="str">
        <f>TRIM(UPPER('Raw Data'!B24))</f>
        <v>C003</v>
      </c>
      <c r="C24" t="str">
        <f>TRIM(PROPER('Raw Data'!C24))</f>
        <v>Sneha Reddy</v>
      </c>
      <c r="D24" t="s">
        <v>150</v>
      </c>
      <c r="E24" t="s">
        <v>151</v>
      </c>
      <c r="F24" s="5" t="s">
        <v>148</v>
      </c>
      <c r="G24" t="str">
        <f>TRIM(UPPER('Raw Data'!D24))</f>
        <v>P002</v>
      </c>
      <c r="H24" t="s">
        <v>36</v>
      </c>
      <c r="I24" t="s">
        <v>37</v>
      </c>
      <c r="J24" s="5" t="str">
        <f>IF(TRIM(PROPER('Raw Data'!G24))="Nrth","North",TRIM(PROPER('Raw Data'!G24)))</f>
        <v>North</v>
      </c>
      <c r="K24" s="55" t="s">
        <v>182</v>
      </c>
      <c r="L24" s="55" t="s">
        <v>115</v>
      </c>
      <c r="M24" s="6">
        <v>6</v>
      </c>
      <c r="N24">
        <f>IFERROR(VALUE('Raw Data'!J24),"Check")</f>
        <v>4</v>
      </c>
      <c r="O24" s="11">
        <f>IFERROR(VALUE(SUBSTITUTE('Raw Data'!K24,"₹","")),0)</f>
        <v>1200</v>
      </c>
      <c r="P24" s="7">
        <f>IFERROR('Raw Data'!L24*100,0)</f>
        <v>10</v>
      </c>
      <c r="Q24" s="10">
        <f t="shared" si="0"/>
        <v>4320</v>
      </c>
      <c r="R24" s="5" t="str">
        <f>IF(TRIM('Raw Data'!M24)="","Unknown",TRIM(PROPER('Raw Data'!M24)))</f>
        <v>Delivered</v>
      </c>
      <c r="S24" t="str">
        <f t="shared" si="1"/>
        <v>OK</v>
      </c>
      <c r="T24" s="57">
        <v>46174</v>
      </c>
    </row>
    <row r="25" spans="1:20">
      <c r="A25" s="5" t="str">
        <f>TRIM(UPPER('Raw Data'!A25))</f>
        <v>ORD024</v>
      </c>
      <c r="B25" s="5" t="str">
        <f>TRIM(UPPER('Raw Data'!B25))</f>
        <v>C004</v>
      </c>
      <c r="C25" t="str">
        <f>TRIM(PROPER('Raw Data'!C25))</f>
        <v>Rahul Das</v>
      </c>
      <c r="D25" t="s">
        <v>153</v>
      </c>
      <c r="E25" t="s">
        <v>154</v>
      </c>
      <c r="F25" s="5" t="s">
        <v>143</v>
      </c>
      <c r="G25" t="str">
        <f>TRIM(UPPER('Raw Data'!D25))</f>
        <v>P004</v>
      </c>
      <c r="H25" t="s">
        <v>43</v>
      </c>
      <c r="I25" t="s">
        <v>44</v>
      </c>
      <c r="J25" s="5" t="str">
        <f>IF(TRIM(PROPER('Raw Data'!G25))="Nrth","North",TRIM(PROPER('Raw Data'!G25)))</f>
        <v>West</v>
      </c>
      <c r="K25" s="55" t="s">
        <v>110</v>
      </c>
      <c r="L25" s="55" t="s">
        <v>117</v>
      </c>
      <c r="M25" s="6">
        <v>7</v>
      </c>
      <c r="N25">
        <f>IFERROR(VALUE('Raw Data'!J25),"Check")</f>
        <v>2</v>
      </c>
      <c r="O25" s="11">
        <f>IFERROR(VALUE(SUBSTITUTE('Raw Data'!K25,"₹","")),0)</f>
        <v>3500</v>
      </c>
      <c r="P25" s="7">
        <f>IFERROR('Raw Data'!L25*100,0)</f>
        <v>5</v>
      </c>
      <c r="Q25" s="10">
        <f t="shared" si="0"/>
        <v>6650</v>
      </c>
      <c r="R25" s="5" t="str">
        <f>IF(TRIM('Raw Data'!M25)="","Unknown",TRIM(PROPER('Raw Data'!M25)))</f>
        <v>Delivered</v>
      </c>
      <c r="S25" t="str">
        <f t="shared" si="1"/>
        <v>OK</v>
      </c>
      <c r="T25" s="57">
        <v>46174</v>
      </c>
    </row>
    <row r="26" spans="1:20">
      <c r="A26" s="5" t="str">
        <f>TRIM(UPPER('Raw Data'!A26))</f>
        <v>ORD025</v>
      </c>
      <c r="B26" s="5" t="str">
        <f>TRIM(UPPER('Raw Data'!B26))</f>
        <v>C005</v>
      </c>
      <c r="C26" t="str">
        <f>TRIM(PROPER('Raw Data'!C26))</f>
        <v>Divya Krishna</v>
      </c>
      <c r="D26" t="s">
        <v>156</v>
      </c>
      <c r="E26" t="s">
        <v>157</v>
      </c>
      <c r="F26" s="5" t="s">
        <v>148</v>
      </c>
      <c r="G26" t="str">
        <f>TRIM(UPPER('Raw Data'!D26))</f>
        <v>P005</v>
      </c>
      <c r="H26" t="s">
        <v>57</v>
      </c>
      <c r="I26" t="s">
        <v>58</v>
      </c>
      <c r="J26" s="5" t="str">
        <f>IF(TRIM(PROPER('Raw Data'!G26))="Nrth","North",TRIM(PROPER('Raw Data'!G26)))</f>
        <v>North</v>
      </c>
      <c r="K26" s="55" t="s">
        <v>119</v>
      </c>
      <c r="L26" s="55" t="s">
        <v>120</v>
      </c>
      <c r="M26" s="6">
        <v>7</v>
      </c>
      <c r="N26">
        <f>IFERROR(VALUE('Raw Data'!J26),"Check")</f>
        <v>3</v>
      </c>
      <c r="O26" s="11">
        <f>IFERROR(VALUE(SUBSTITUTE('Raw Data'!K26,"₹","")),0)</f>
        <v>2800</v>
      </c>
      <c r="P26" s="7">
        <f>IFERROR('Raw Data'!L26*100,0)</f>
        <v>8</v>
      </c>
      <c r="Q26" s="10">
        <f t="shared" si="0"/>
        <v>7728</v>
      </c>
      <c r="R26" s="5" t="str">
        <f>IF(TRIM('Raw Data'!M26)="","Unknown",TRIM(PROPER('Raw Data'!M26)))</f>
        <v>Delivered</v>
      </c>
      <c r="S26" t="str">
        <f t="shared" si="1"/>
        <v>OK</v>
      </c>
      <c r="T26" s="57">
        <v>46174</v>
      </c>
    </row>
    <row r="27" spans="1:20">
      <c r="A27" s="5" t="str">
        <f>TRIM(UPPER('Raw Data'!A28))</f>
        <v>ORD026</v>
      </c>
      <c r="B27" s="5" t="str">
        <f>TRIM(UPPER('Raw Data'!B28))</f>
        <v>C006</v>
      </c>
      <c r="C27" t="str">
        <f>TRIM(PROPER('Raw Data'!C28))</f>
        <v>Meera Nair</v>
      </c>
      <c r="D27" t="s">
        <v>160</v>
      </c>
      <c r="E27" t="s">
        <v>161</v>
      </c>
      <c r="F27" s="5" t="s">
        <v>143</v>
      </c>
      <c r="G27" t="str">
        <f>TRIM(UPPER('Raw Data'!D28))</f>
        <v>P001</v>
      </c>
      <c r="H27" t="s">
        <v>26</v>
      </c>
      <c r="I27" t="s">
        <v>27</v>
      </c>
      <c r="J27" s="5" t="str">
        <f>IF(TRIM(PROPER('Raw Data'!G28))="Nrth","North",TRIM(PROPER('Raw Data'!G28)))</f>
        <v>North</v>
      </c>
      <c r="K27" s="55" t="s">
        <v>113</v>
      </c>
      <c r="L27" s="55" t="s">
        <v>123</v>
      </c>
      <c r="M27" s="6">
        <v>7</v>
      </c>
      <c r="N27">
        <f>IFERROR(VALUE('Raw Data'!J28),"Check")</f>
        <v>3</v>
      </c>
      <c r="O27" s="11">
        <f>IFERROR(VALUE(SUBSTITUTE('Raw Data'!K28,"₹","")),0)</f>
        <v>799</v>
      </c>
      <c r="P27" s="7">
        <f>IFERROR('Raw Data'!L28*100,0)</f>
        <v>5</v>
      </c>
      <c r="Q27" s="10">
        <f t="shared" si="0"/>
        <v>2277.15</v>
      </c>
      <c r="R27" s="5" t="str">
        <f>IF(TRIM('Raw Data'!M28)="","Unknown",TRIM(PROPER('Raw Data'!M28)))</f>
        <v>Delivered</v>
      </c>
      <c r="S27" t="str">
        <f t="shared" si="1"/>
        <v>OK</v>
      </c>
      <c r="T27" s="57">
        <v>46174</v>
      </c>
    </row>
    <row r="28" spans="1:20" ht="16.5" customHeight="1">
      <c r="A28" s="5" t="str">
        <f>TRIM(UPPER('Raw Data'!A29))</f>
        <v>ORD027</v>
      </c>
      <c r="B28" s="5" t="str">
        <f>TRIM(UPPER('Raw Data'!B29))</f>
        <v>C007</v>
      </c>
      <c r="C28" t="str">
        <f>TRIM(PROPER('Raw Data'!C29))</f>
        <v>Kiran Rao</v>
      </c>
      <c r="D28" t="s">
        <v>164</v>
      </c>
      <c r="E28" t="s">
        <v>157</v>
      </c>
      <c r="F28" s="5" t="s">
        <v>148</v>
      </c>
      <c r="G28" t="str">
        <f>TRIM(UPPER('Raw Data'!D29))</f>
        <v>P003</v>
      </c>
      <c r="H28" t="s">
        <v>17</v>
      </c>
      <c r="I28" s="5" t="s">
        <v>18</v>
      </c>
      <c r="J28" s="5" t="str">
        <f>IF(TRIM(PROPER('Raw Data'!G29))="Nrth","North",TRIM(PROPER('Raw Data'!G29)))</f>
        <v>West</v>
      </c>
      <c r="K28" s="55" t="s">
        <v>115</v>
      </c>
      <c r="L28" s="55" t="s">
        <v>125</v>
      </c>
      <c r="M28" s="6">
        <v>7</v>
      </c>
      <c r="N28">
        <f>IFERROR(VALUE('Raw Data'!J29),"Check")</f>
        <v>1</v>
      </c>
      <c r="O28" s="11">
        <f>IFERROR(VALUE(SUBSTITUTE('Raw Data'!K29,"₹","")),0)</f>
        <v>0</v>
      </c>
      <c r="P28" s="7">
        <f>IFERROR('Raw Data'!L29*100,0)</f>
        <v>10</v>
      </c>
      <c r="Q28" s="10">
        <f t="shared" si="0"/>
        <v>0</v>
      </c>
      <c r="R28" s="5" t="str">
        <f>IF(TRIM('Raw Data'!M29)="","Unknown",TRIM(PROPER('Raw Data'!M29)))</f>
        <v>Pending</v>
      </c>
      <c r="S28" t="str">
        <f t="shared" si="1"/>
        <v>Missing Price</v>
      </c>
      <c r="T28" s="57">
        <v>46174</v>
      </c>
    </row>
    <row r="29" spans="1:20">
      <c r="A29" s="5" t="str">
        <f>TRIM(UPPER('Raw Data'!A30))</f>
        <v>ORD028</v>
      </c>
      <c r="B29" s="5" t="str">
        <f>TRIM(UPPER('Raw Data'!B30))</f>
        <v>C008</v>
      </c>
      <c r="C29" t="str">
        <f>TRIM(PROPER('Raw Data'!C30))</f>
        <v>Pooja Singh</v>
      </c>
      <c r="D29" t="s">
        <v>167</v>
      </c>
      <c r="E29" t="s">
        <v>167</v>
      </c>
      <c r="F29" s="5" t="s">
        <v>148</v>
      </c>
      <c r="G29" t="str">
        <f>TRIM(UPPER('Raw Data'!D30))</f>
        <v>P004</v>
      </c>
      <c r="H29" t="s">
        <v>43</v>
      </c>
      <c r="I29" t="s">
        <v>44</v>
      </c>
      <c r="J29" s="5" t="str">
        <f>IF(TRIM(PROPER('Raw Data'!G30))="Nrth","North",TRIM(PROPER('Raw Data'!G30)))</f>
        <v>South</v>
      </c>
      <c r="K29" s="55" t="s">
        <v>127</v>
      </c>
      <c r="L29" s="55" t="s">
        <v>128</v>
      </c>
      <c r="M29" s="6">
        <v>7</v>
      </c>
      <c r="N29">
        <f>IFERROR(VALUE('Raw Data'!J30),"Check")</f>
        <v>2</v>
      </c>
      <c r="O29" s="11">
        <f>IFERROR(VALUE(SUBSTITUTE('Raw Data'!K30,"₹","")),0)</f>
        <v>3500</v>
      </c>
      <c r="P29" s="7">
        <f>IFERROR('Raw Data'!L30*100,0)</f>
        <v>0</v>
      </c>
      <c r="Q29" s="10">
        <f t="shared" si="0"/>
        <v>7000</v>
      </c>
      <c r="R29" s="5" t="str">
        <f>IF(TRIM('Raw Data'!M30)="","Unknown",TRIM(PROPER('Raw Data'!M30)))</f>
        <v>Unknown</v>
      </c>
      <c r="S29" t="str">
        <f t="shared" si="1"/>
        <v>Missing Status</v>
      </c>
      <c r="T29" s="57">
        <v>46174</v>
      </c>
    </row>
    <row r="30" spans="1:20">
      <c r="A30" s="5" t="str">
        <f>TRIM(UPPER('Raw Data'!A31))</f>
        <v>ORD029</v>
      </c>
      <c r="B30" s="5" t="str">
        <f>TRIM(UPPER('Raw Data'!B31))</f>
        <v>C009</v>
      </c>
      <c r="C30" t="str">
        <f>TRIM(PROPER('Raw Data'!C31))</f>
        <v>Arun Kumar</v>
      </c>
      <c r="D30" t="s">
        <v>169</v>
      </c>
      <c r="E30" t="s">
        <v>170</v>
      </c>
      <c r="F30" s="5" t="s">
        <v>143</v>
      </c>
      <c r="G30" t="str">
        <f>TRIM(UPPER('Raw Data'!D31))</f>
        <v>P005</v>
      </c>
      <c r="H30" t="s">
        <v>57</v>
      </c>
      <c r="I30" t="s">
        <v>58</v>
      </c>
      <c r="J30" s="5" t="str">
        <f>IF(TRIM(PROPER('Raw Data'!G31))="Nrth","North",TRIM(PROPER('Raw Data'!G31)))</f>
        <v>East</v>
      </c>
      <c r="K30" s="55" t="s">
        <v>130</v>
      </c>
      <c r="L30" s="55">
        <f>IFERROR(DATEVALUE(TEXT('Raw Data'!I31,"DD-MM-YYYY")),"Invalid Date")</f>
        <v>46204</v>
      </c>
      <c r="M30" s="6">
        <v>7</v>
      </c>
      <c r="N30">
        <f>IFERROR(VALUE('Raw Data'!J31),"Check")</f>
        <v>2</v>
      </c>
      <c r="O30" s="11">
        <f>IFERROR(VALUE(SUBSTITUTE('Raw Data'!K31,"₹","")),0)</f>
        <v>2800</v>
      </c>
      <c r="P30" s="7">
        <f>IFERROR('Raw Data'!L31*100,0)</f>
        <v>5</v>
      </c>
      <c r="Q30" s="10">
        <f t="shared" si="0"/>
        <v>5320</v>
      </c>
      <c r="R30" s="5" t="str">
        <f>IF(TRIM('Raw Data'!M31)="","Unknown",TRIM(PROPER('Raw Data'!M31)))</f>
        <v>Delivered</v>
      </c>
      <c r="S30" t="str">
        <f t="shared" si="1"/>
        <v>OK</v>
      </c>
      <c r="T30" s="57">
        <v>46174</v>
      </c>
    </row>
  </sheetData>
  <conditionalFormatting sqref="S1:S1048576">
    <cfRule type="containsText" dxfId="3" priority="4" operator="containsText" text="OK">
      <formula>NOT(ISERROR(SEARCH("OK",S1)))</formula>
    </cfRule>
  </conditionalFormatting>
  <conditionalFormatting sqref="S1:S1048576">
    <cfRule type="containsText" dxfId="2" priority="3" operator="containsText" text="Missing">
      <formula>NOT(ISERROR(SEARCH("Missing",S1)))</formula>
    </cfRule>
  </conditionalFormatting>
  <conditionalFormatting sqref="S1:S1048576">
    <cfRule type="containsText" dxfId="1" priority="2" operator="containsText" text="Wrong">
      <formula>NOT(ISERROR(SEARCH("Wrong",S1)))</formula>
    </cfRule>
  </conditionalFormatting>
  <conditionalFormatting sqref="S1:S1048576">
    <cfRule type="containsText" dxfId="0" priority="1" operator="containsText" text="Check">
      <formula>NOT(ISERROR(SEARCH("Check",S1)))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EDF37-7113-4BBB-8CCC-C73587C7FADF}">
  <dimension ref="A1:I45"/>
  <sheetViews>
    <sheetView tabSelected="1" topLeftCell="A20" workbookViewId="0">
      <selection activeCell="B22" sqref="B22:B27"/>
    </sheetView>
  </sheetViews>
  <sheetFormatPr defaultRowHeight="15"/>
  <cols>
    <col min="1" max="1" width="29.85546875" bestFit="1" customWidth="1"/>
    <col min="2" max="2" width="13.28515625" bestFit="1" customWidth="1"/>
    <col min="3" max="3" width="15" bestFit="1" customWidth="1"/>
    <col min="4" max="4" width="11.7109375" bestFit="1" customWidth="1"/>
    <col min="6" max="6" width="18.7109375" bestFit="1" customWidth="1"/>
    <col min="7" max="7" width="12.140625" bestFit="1" customWidth="1"/>
    <col min="8" max="8" width="9.28515625" bestFit="1" customWidth="1"/>
  </cols>
  <sheetData>
    <row r="1" spans="1:9" ht="21">
      <c r="A1" s="20" t="s">
        <v>183</v>
      </c>
      <c r="F1" s="1" t="s">
        <v>184</v>
      </c>
      <c r="G1" s="58"/>
      <c r="H1" t="s">
        <v>12</v>
      </c>
      <c r="I1" t="s">
        <v>185</v>
      </c>
    </row>
    <row r="2" spans="1:9">
      <c r="F2" t="s">
        <v>186</v>
      </c>
      <c r="G2" s="10">
        <f>SUM(Cleaned!Q2:Q28)</f>
        <v>391696.25</v>
      </c>
      <c r="H2" t="s">
        <v>40</v>
      </c>
      <c r="I2">
        <f>COUNTIF(Cleaned!R2:R30,"Delivered")</f>
        <v>21</v>
      </c>
    </row>
    <row r="3" spans="1:9">
      <c r="A3" s="21" t="s">
        <v>187</v>
      </c>
      <c r="F3" t="s">
        <v>188</v>
      </c>
      <c r="G3" s="10">
        <f>COUNTA(Cleaned!A2:A28)</f>
        <v>27</v>
      </c>
      <c r="H3" t="s">
        <v>31</v>
      </c>
      <c r="I3">
        <f>COUNTIF(Cleaned!R2:R30,"Pending")</f>
        <v>6</v>
      </c>
    </row>
    <row r="4" spans="1:9">
      <c r="A4" s="12" t="s">
        <v>6</v>
      </c>
      <c r="B4" s="12" t="s">
        <v>186</v>
      </c>
      <c r="C4" s="12" t="s">
        <v>189</v>
      </c>
      <c r="D4" s="12" t="s">
        <v>190</v>
      </c>
      <c r="F4" t="s">
        <v>191</v>
      </c>
      <c r="G4" s="10">
        <f>IFERROR(G2/G3,0)</f>
        <v>14507.268518518518</v>
      </c>
      <c r="H4" t="s">
        <v>52</v>
      </c>
      <c r="I4">
        <f>COUNTIF(Cleaned!R2:R30,"Cancelled")</f>
        <v>1</v>
      </c>
    </row>
    <row r="5" spans="1:9">
      <c r="A5" t="s">
        <v>45</v>
      </c>
      <c r="B5" s="10">
        <f>IFERROR(SUMIF(Cleaned!$J$2:$J$28,A5,Cleaned!$Q$2:$Q$28),0)</f>
        <v>135170.75</v>
      </c>
      <c r="C5">
        <f>IFERROR(COUNTIF(Cleaned!$J$2:$J$28,A5),0)</f>
        <v>10</v>
      </c>
      <c r="D5" s="60">
        <f>IFERROR(B5/$B$9*100,0)</f>
        <v>34.509074314599644</v>
      </c>
      <c r="F5" t="s">
        <v>192</v>
      </c>
      <c r="G5" s="10">
        <f>MAX(Cleaned!Q2:Q28)</f>
        <v>99000</v>
      </c>
    </row>
    <row r="6" spans="1:9">
      <c r="A6" t="s">
        <v>64</v>
      </c>
      <c r="B6" s="10">
        <f>IFERROR(SUMIF(Cleaned!$J$2:$J$28,A6,Cleaned!$Q$2:$Q$28),0)</f>
        <v>162472.4</v>
      </c>
      <c r="C6">
        <f>IFERROR(COUNTIF(Cleaned!$J$2:$J$28,A6),0)</f>
        <v>6</v>
      </c>
      <c r="D6" s="60">
        <f t="shared" ref="D6:D8" si="0">IFERROR(B6/$B$9*100,0)</f>
        <v>41.479181891580531</v>
      </c>
      <c r="F6" t="s">
        <v>193</v>
      </c>
      <c r="G6" s="10">
        <f>IFERROR(_xlfn.MINIFS(Cleaned!Q2:Q28,Cleaned!Q2:Q28,"&gt;"&amp;0),0)</f>
        <v>1200</v>
      </c>
    </row>
    <row r="7" spans="1:9">
      <c r="A7" t="s">
        <v>59</v>
      </c>
      <c r="B7" s="10">
        <f>IFERROR(SUMIF(Cleaned!$J$2:$J$28,A7,Cleaned!$Q$2:$Q$28),0)</f>
        <v>70358.100000000006</v>
      </c>
      <c r="C7">
        <f>IFERROR(COUNTIF(Cleaned!$J$2:$J$28,A7),0)</f>
        <v>6</v>
      </c>
      <c r="D7" s="60">
        <f t="shared" si="0"/>
        <v>17.96241347727991</v>
      </c>
      <c r="F7" t="s">
        <v>194</v>
      </c>
      <c r="G7">
        <f>COUNTIF(Cleaned!R2:R28,"Delivered")</f>
        <v>20</v>
      </c>
    </row>
    <row r="8" spans="1:9">
      <c r="A8" t="s">
        <v>105</v>
      </c>
      <c r="B8" s="10">
        <f>IFERROR(SUMIF(Cleaned!$J$2:$J$28,A8,Cleaned!$Q$2:$Q$28),0)</f>
        <v>23695</v>
      </c>
      <c r="C8">
        <f>IFERROR(COUNTIF(Cleaned!$J$2:$J$28,A8),0)</f>
        <v>5</v>
      </c>
      <c r="D8" s="60">
        <f t="shared" si="0"/>
        <v>6.0493303165399208</v>
      </c>
      <c r="F8" t="s">
        <v>195</v>
      </c>
      <c r="G8">
        <f>COUNTIF(Cleaned!R2:R28,"Pending")</f>
        <v>6</v>
      </c>
    </row>
    <row r="9" spans="1:9">
      <c r="A9" s="12" t="s">
        <v>196</v>
      </c>
      <c r="B9" s="22">
        <f>SUM(B5:B8)</f>
        <v>391696.25</v>
      </c>
      <c r="C9" s="12">
        <f>SUM(C5:C8)</f>
        <v>27</v>
      </c>
      <c r="F9" t="s">
        <v>197</v>
      </c>
      <c r="G9">
        <f>COUNTIF(Cleaned!R2:R30,"Cancelled")</f>
        <v>1</v>
      </c>
    </row>
    <row r="10" spans="1:9">
      <c r="F10" t="s">
        <v>198</v>
      </c>
      <c r="G10" s="59">
        <f>IFERROR(G7/G3*100,0)</f>
        <v>74.074074074074076</v>
      </c>
    </row>
    <row r="11" spans="1:9">
      <c r="A11" s="21" t="s">
        <v>199</v>
      </c>
    </row>
    <row r="12" spans="1:9">
      <c r="A12" s="12" t="s">
        <v>5</v>
      </c>
      <c r="B12" s="12" t="s">
        <v>186</v>
      </c>
      <c r="C12" s="12" t="s">
        <v>189</v>
      </c>
    </row>
    <row r="13" spans="1:9">
      <c r="A13" t="s">
        <v>18</v>
      </c>
      <c r="B13">
        <f>IFERROR(SUMIF(Cleaned!$I$2:$I$28,A13,Cleaned!$Q$2:$Q$28),0)</f>
        <v>305250</v>
      </c>
      <c r="C13">
        <f>IFERROR(COUNTIF(Cleaned!$I$2:$I$28,A13),0)</f>
        <v>6</v>
      </c>
    </row>
    <row r="14" spans="1:9">
      <c r="A14" t="s">
        <v>27</v>
      </c>
      <c r="B14">
        <f>IFERROR(SUMIF(Cleaned!$I$2:$I$28,A14,Cleaned!$Q$2:$Q$28),0)</f>
        <v>17378.25</v>
      </c>
      <c r="C14">
        <f>IFERROR(COUNTIF(Cleaned!$I$2:$I$28,A14),0)</f>
        <v>6</v>
      </c>
    </row>
    <row r="15" spans="1:9">
      <c r="A15" t="s">
        <v>37</v>
      </c>
      <c r="B15">
        <f>IFERROR(SUMIF(Cleaned!$I$2:$I$28,A15,Cleaned!$Q$2:$Q$28),0)</f>
        <v>13740</v>
      </c>
      <c r="C15">
        <f>IFERROR(COUNTIF(Cleaned!$I$2:$I$28,A15),0)</f>
        <v>5</v>
      </c>
    </row>
    <row r="16" spans="1:9">
      <c r="A16" t="s">
        <v>44</v>
      </c>
      <c r="B16">
        <f>IFERROR(SUMIF(Cleaned!$I$2:$I$28,A16,Cleaned!$Q$2:$Q$28),0)</f>
        <v>34440</v>
      </c>
      <c r="C16">
        <f>IFERROR(COUNTIF(Cleaned!$I$2:$I$28,A16),0)</f>
        <v>5</v>
      </c>
    </row>
    <row r="17" spans="1:4">
      <c r="A17" t="s">
        <v>58</v>
      </c>
      <c r="B17">
        <f>IFERROR(SUMIF(Cleaned!$I$2:$I$28,A17,Cleaned!$Q$2:$Q$28),0)</f>
        <v>20888</v>
      </c>
      <c r="C17">
        <f>IFERROR(COUNTIF(Cleaned!$I$2:$I$28,A17),0)</f>
        <v>5</v>
      </c>
    </row>
    <row r="18" spans="1:4">
      <c r="A18" s="12" t="s">
        <v>196</v>
      </c>
      <c r="B18" s="22">
        <f>SUM(B13:B17)</f>
        <v>391696.25</v>
      </c>
      <c r="C18" s="12">
        <f>SUM(C13:C17)</f>
        <v>27</v>
      </c>
    </row>
    <row r="20" spans="1:4">
      <c r="A20" s="21" t="s">
        <v>200</v>
      </c>
    </row>
    <row r="21" spans="1:4">
      <c r="A21" s="12" t="s">
        <v>178</v>
      </c>
      <c r="B21" s="12" t="s">
        <v>186</v>
      </c>
      <c r="C21" s="12" t="s">
        <v>189</v>
      </c>
    </row>
    <row r="22" spans="1:4">
      <c r="A22" s="23" t="str">
        <f>Cleaned!T2</f>
        <v>Jan-2026</v>
      </c>
      <c r="B22">
        <f>IFERROR(SUMIF(Cleaned!$T$2:$T$28,A22,Cleaned!$Q$2:$Q$28),0)</f>
        <v>101277.15</v>
      </c>
      <c r="C22">
        <f>IFERROR(COUNTIF(Cleaned!$T$2:$T$28,A22),0)</f>
        <v>2</v>
      </c>
    </row>
    <row r="23" spans="1:4">
      <c r="A23" s="23" t="str">
        <f>Cleaned!T4</f>
        <v>Feb-2026</v>
      </c>
      <c r="B23">
        <f>IFERROR(SUMIF(Cleaned!$T$2:$T$28,A23,Cleaned!$Q$2:$Q$28),0)</f>
        <v>7970.25</v>
      </c>
      <c r="C23">
        <f>IFERROR(COUNTIF(Cleaned!$T$2:$T$28,A23),0)</f>
        <v>3</v>
      </c>
    </row>
    <row r="24" spans="1:4">
      <c r="A24" s="23" t="str">
        <f>Cleaned!T7</f>
        <v>Mar-2026</v>
      </c>
      <c r="B24">
        <f>IFERROR(SUMIF(Cleaned!$T$2:$T$28,A24,Cleaned!$Q$2:$Q$28),0)</f>
        <v>55520</v>
      </c>
      <c r="C24">
        <f>IFERROR(COUNTIF(Cleaned!$T$2:$T$28,A24),0)</f>
        <v>3</v>
      </c>
    </row>
    <row r="25" spans="1:4">
      <c r="A25" s="23" t="str">
        <f>Cleaned!T10</f>
        <v>Apr-2026</v>
      </c>
      <c r="B25">
        <f>IFERROR(SUMIF(Cleaned!$T$2:$T$28,A25,Cleaned!$Q$2:$Q$28),0)</f>
        <v>69786</v>
      </c>
      <c r="C25">
        <f>IFERROR(COUNTIF(Cleaned!$T$2:$T$28,A25),0)</f>
        <v>5</v>
      </c>
    </row>
    <row r="26" spans="1:4">
      <c r="A26" s="23" t="str">
        <f>Cleaned!T15</f>
        <v>May-2026</v>
      </c>
      <c r="B26">
        <f>IFERROR(SUMIF(Cleaned!$T$2:$T$28,A26,Cleaned!$Q$2:$Q$28),0)</f>
        <v>65804.600000000006</v>
      </c>
      <c r="C26">
        <f>IFERROR(COUNTIF(Cleaned!$T$2:$T$28,A26),0)</f>
        <v>4</v>
      </c>
    </row>
    <row r="27" spans="1:4">
      <c r="A27" s="23" t="str">
        <f>Cleaned!T19</f>
        <v>Jun-2026</v>
      </c>
      <c r="B27">
        <f>IFERROR(SUMIF(Cleaned!$T$2:$T$28,A27,Cleaned!$Q$2:$Q$28),0)</f>
        <v>91338.25</v>
      </c>
      <c r="C27">
        <f>IFERROR(COUNTIF(Cleaned!$T$2:$T$28,A27),0)</f>
        <v>10</v>
      </c>
    </row>
    <row r="28" spans="1:4">
      <c r="A28" s="12" t="s">
        <v>196</v>
      </c>
      <c r="B28" s="12">
        <f>SUM(B22:B27)</f>
        <v>391696.25</v>
      </c>
      <c r="C28" s="12">
        <f>SUM(C22:C27)</f>
        <v>27</v>
      </c>
    </row>
    <row r="29" spans="1:4">
      <c r="A29" s="21" t="s">
        <v>201</v>
      </c>
    </row>
    <row r="30" spans="1:4">
      <c r="A30" s="12" t="s">
        <v>202</v>
      </c>
      <c r="B30" s="12" t="s">
        <v>0</v>
      </c>
      <c r="C30" s="12" t="s">
        <v>2</v>
      </c>
      <c r="D30" s="12" t="s">
        <v>176</v>
      </c>
    </row>
    <row r="31" spans="1:4">
      <c r="A31">
        <v>1</v>
      </c>
      <c r="B31" t="str">
        <f>IFERROR(INDEX(Cleaned!$A$2:$A$28,MATCH(D31,Cleaned!$Q$2:$Q$28,0)),"")</f>
        <v>ORD001</v>
      </c>
      <c r="C31" t="str">
        <f>IFERROR(INDEX(Cleaned!$C$2:$C$28,MATCH(D31,Cleaned!$Q$2:$Q$28,0)),"")</f>
        <v>Priya Sharma</v>
      </c>
      <c r="D31" s="10">
        <f>IFERROR(LARGE(Cleaned!$Q$2:$Q$28,A31),0)</f>
        <v>99000</v>
      </c>
    </row>
    <row r="32" spans="1:4">
      <c r="A32">
        <v>2</v>
      </c>
      <c r="B32" t="str">
        <f>IFERROR(INDEX(Cleaned!$A$2:$A$28,MATCH(D32,Cleaned!$Q$2:$Q$28,0)),"")</f>
        <v>ORD022</v>
      </c>
      <c r="C32" t="str">
        <f>IFERROR(INDEX(Cleaned!$C$2:$C$28,MATCH(D32,Cleaned!$Q$2:$Q$28,0)),"")</f>
        <v>Vijay Kumar</v>
      </c>
      <c r="D32" s="10">
        <f>IFERROR(LARGE(Cleaned!$Q$2:$Q$28,A32),0)</f>
        <v>55000</v>
      </c>
    </row>
    <row r="33" spans="1:5">
      <c r="A33">
        <v>3</v>
      </c>
      <c r="B33" t="str">
        <f>IFERROR(INDEX(Cleaned!$A$2:$A$28,MATCH(D33,Cleaned!$Q$2:$Q$28,0)),"")</f>
        <v>ORD017</v>
      </c>
      <c r="C33" t="str">
        <f>IFERROR(INDEX(Cleaned!$C$2:$C$28,MATCH(D33,Cleaned!$Q$2:$Q$28,0)),"")</f>
        <v>Meera Nair</v>
      </c>
      <c r="D33" s="10">
        <f>IFERROR(LARGE(Cleaned!$Q$2:$Q$28,A33),0)</f>
        <v>52250</v>
      </c>
    </row>
    <row r="34" spans="1:5">
      <c r="A34">
        <v>4</v>
      </c>
      <c r="B34" t="str">
        <f>IFERROR(INDEX(Cleaned!$A$2:$A$28,MATCH(D34,Cleaned!$Q$2:$Q$28,0)),"")</f>
        <v>ORD007</v>
      </c>
      <c r="C34" t="str">
        <f>IFERROR(INDEX(Cleaned!$C$2:$C$28,MATCH(D34,Cleaned!$Q$2:$Q$28,0)),"")</f>
        <v>Arjun Nair</v>
      </c>
      <c r="D34" s="10">
        <f>IFERROR(LARGE(Cleaned!$Q$2:$Q$28,A34),0)</f>
        <v>50600</v>
      </c>
    </row>
    <row r="35" spans="1:5">
      <c r="A35">
        <v>5</v>
      </c>
      <c r="B35" t="str">
        <f>IFERROR(INDEX(Cleaned!$A$2:$A$28,MATCH(D35,Cleaned!$Q$2:$Q$28,0)),"")</f>
        <v>ORD012</v>
      </c>
      <c r="C35" t="str">
        <f>IFERROR(INDEX(Cleaned!$C$2:$C$28,MATCH(D35,Cleaned!$Q$2:$Q$28,0)),"")</f>
        <v>Rahul Das</v>
      </c>
      <c r="D35" s="10">
        <f>IFERROR(LARGE(Cleaned!$Q$2:$Q$28,A35),0)</f>
        <v>48400</v>
      </c>
    </row>
    <row r="37" spans="1:5">
      <c r="A37" s="21" t="s">
        <v>203</v>
      </c>
    </row>
    <row r="38" spans="1:5">
      <c r="A38" s="12" t="s">
        <v>2</v>
      </c>
      <c r="B38" s="12" t="s">
        <v>135</v>
      </c>
      <c r="C38" s="12" t="s">
        <v>186</v>
      </c>
      <c r="D38" s="12" t="s">
        <v>189</v>
      </c>
      <c r="E38" s="12" t="s">
        <v>202</v>
      </c>
    </row>
    <row r="39" spans="1:5">
      <c r="A39" t="s">
        <v>179</v>
      </c>
      <c r="B39" t="s">
        <v>140</v>
      </c>
      <c r="C39" s="10">
        <f>IFERROR(SUMIF(Cleaned!$C$2:$C$28,A39,Cleaned!$Q$2:$Q$28),0)</f>
        <v>106289.60000000001</v>
      </c>
      <c r="D39">
        <f>IFERROR(COUNTIF(Cleaned!$C$2:$C$28,A39),0)</f>
        <v>3</v>
      </c>
      <c r="E39">
        <f>RANK(C39,$C$39:$C$44,0)</f>
        <v>1</v>
      </c>
    </row>
    <row r="40" spans="1:5">
      <c r="A40" t="s">
        <v>144</v>
      </c>
      <c r="B40" t="str">
        <f>IFERROR(VLOOKUP(A40,CustomerDB!B2:D12,2,0),"Unknown")</f>
        <v>Chennai</v>
      </c>
      <c r="C40" s="10">
        <f>IFERROR(SUMIF(Cleaned!$C$2:$C$28,A40,Cleaned!$Q$2:$Q$28),0)</f>
        <v>55277.15</v>
      </c>
      <c r="D40">
        <f>IFERROR(COUNTIF(Cleaned!$C$2:$C$28,A40),0)</f>
        <v>3</v>
      </c>
      <c r="E40">
        <f t="shared" ref="E40:E44" si="1">RANK(C40,$C$39:$C$44,0)</f>
        <v>4</v>
      </c>
    </row>
    <row r="41" spans="1:5">
      <c r="A41" t="s">
        <v>149</v>
      </c>
      <c r="B41" t="str">
        <f>IFERROR(VLOOKUP(A41,CustomerDB!B3:D13,2,0),"Unknown")</f>
        <v>Hyderabad</v>
      </c>
      <c r="C41" s="10">
        <f>IFERROR(SUMIF(Cleaned!$C$2:$C$28,A41,Cleaned!$Q$2:$Q$28),0)</f>
        <v>14970</v>
      </c>
      <c r="D41">
        <f>IFERROR(COUNTIF(Cleaned!$C$2:$C$28,A41),0)</f>
        <v>3</v>
      </c>
      <c r="E41">
        <f t="shared" si="1"/>
        <v>5</v>
      </c>
    </row>
    <row r="42" spans="1:5">
      <c r="A42" t="s">
        <v>152</v>
      </c>
      <c r="B42" t="str">
        <f>IFERROR(VLOOKUP(A42,CustomerDB!B4:D14,2,0),"Unknown")</f>
        <v>Kolkata</v>
      </c>
      <c r="C42" s="10">
        <f>IFERROR(SUMIF(Cleaned!$C$2:$C$28,A42,Cleaned!$Q$2:$Q$28),0)</f>
        <v>58845.25</v>
      </c>
      <c r="D42">
        <f>IFERROR(COUNTIF(Cleaned!$C$2:$C$28,A42),0)</f>
        <v>3</v>
      </c>
      <c r="E42">
        <f t="shared" si="1"/>
        <v>2</v>
      </c>
    </row>
    <row r="43" spans="1:5">
      <c r="A43" t="s">
        <v>155</v>
      </c>
      <c r="B43" t="str">
        <f>IFERROR(VLOOKUP(A43,CustomerDB!B5:D15,2,0),"Unknown")</f>
        <v>Mumbai</v>
      </c>
      <c r="C43" s="10">
        <f>IFERROR(SUMIF(Cleaned!$C$2:$C$28,A43,Cleaned!$Q$2:$Q$28),0)</f>
        <v>13048</v>
      </c>
      <c r="D43">
        <f>IFERROR(COUNTIF(Cleaned!$C$2:$C$28,A43),0)</f>
        <v>3</v>
      </c>
      <c r="E43">
        <f t="shared" si="1"/>
        <v>6</v>
      </c>
    </row>
    <row r="44" spans="1:5">
      <c r="A44" t="s">
        <v>159</v>
      </c>
      <c r="B44" t="str">
        <f>IFERROR(VLOOKUP(A44,CustomerDB!B6:D16,2,0),"Unknown")</f>
        <v>Kochi</v>
      </c>
      <c r="C44" s="10">
        <f>IFERROR(SUMIF(Cleaned!$C$2:$C$28,A44,Cleaned!$Q$2:$Q$28),0)</f>
        <v>56927.15</v>
      </c>
      <c r="D44">
        <f>IFERROR(COUNTIF(Cleaned!$C$2:$C$28,A44),0)</f>
        <v>3</v>
      </c>
      <c r="E44">
        <f t="shared" si="1"/>
        <v>3</v>
      </c>
    </row>
    <row r="45" spans="1:5">
      <c r="A45" s="21" t="s">
        <v>204</v>
      </c>
    </row>
  </sheetData>
  <conditionalFormatting sqref="B5:B8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{E47F2FEF-A5C3-4023-ADDE-C12B664EF058}</x14:id>
        </ext>
      </extLst>
    </cfRule>
  </conditionalFormatting>
  <conditionalFormatting sqref="B5:B8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{C596DD66-0D73-4DD9-947F-C7B9581670F8}</x14:id>
        </ext>
      </extLst>
    </cfRule>
  </conditionalFormatting>
  <conditionalFormatting sqref="B13:B1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2:B27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47F2FEF-A5C3-4023-ADDE-C12B664EF0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B5:B8</xm:sqref>
        </x14:conditionalFormatting>
        <x14:conditionalFormatting xmlns:xm="http://schemas.microsoft.com/office/excel/2006/main">
          <x14:cfRule type="dataBar" id="{C596DD66-0D73-4DD9-947F-C7B9581670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B5:B8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599B1-0607-45F5-9FC7-D716D008316A}">
  <dimension ref="A1:G39"/>
  <sheetViews>
    <sheetView topLeftCell="A4" workbookViewId="0">
      <selection activeCell="B3" sqref="B3:G7"/>
    </sheetView>
  </sheetViews>
  <sheetFormatPr defaultRowHeight="15"/>
  <cols>
    <col min="1" max="1" width="18.42578125" bestFit="1" customWidth="1"/>
    <col min="2" max="2" width="9.5703125" customWidth="1"/>
    <col min="3" max="3" width="9.42578125" bestFit="1" customWidth="1"/>
    <col min="4" max="4" width="9.85546875" customWidth="1"/>
    <col min="5" max="5" width="9.42578125" bestFit="1" customWidth="1"/>
    <col min="6" max="7" width="11.42578125" bestFit="1" customWidth="1"/>
  </cols>
  <sheetData>
    <row r="1" spans="1:7">
      <c r="A1" s="61" t="s">
        <v>205</v>
      </c>
      <c r="B1" s="61" t="s">
        <v>5</v>
      </c>
    </row>
    <row r="2" spans="1:7">
      <c r="A2" s="61" t="s">
        <v>6</v>
      </c>
      <c r="B2" t="s">
        <v>37</v>
      </c>
      <c r="C2" t="s">
        <v>18</v>
      </c>
      <c r="D2" t="s">
        <v>27</v>
      </c>
      <c r="E2" t="s">
        <v>58</v>
      </c>
      <c r="F2" t="s">
        <v>44</v>
      </c>
      <c r="G2" t="s">
        <v>206</v>
      </c>
    </row>
    <row r="3" spans="1:7">
      <c r="A3" t="s">
        <v>59</v>
      </c>
      <c r="B3" s="10">
        <v>4620</v>
      </c>
      <c r="C3" s="10">
        <v>52250</v>
      </c>
      <c r="D3" s="10">
        <v>1518.1</v>
      </c>
      <c r="E3" s="10">
        <v>7840</v>
      </c>
      <c r="F3" s="10">
        <v>9450</v>
      </c>
      <c r="G3" s="10">
        <v>75678.100000000006</v>
      </c>
    </row>
    <row r="4" spans="1:7">
      <c r="A4" t="s">
        <v>45</v>
      </c>
      <c r="B4" s="10">
        <v>6720</v>
      </c>
      <c r="C4" s="10">
        <v>99000</v>
      </c>
      <c r="D4" s="10">
        <v>9787.75</v>
      </c>
      <c r="E4" s="10">
        <v>10248</v>
      </c>
      <c r="F4" s="10">
        <v>9415</v>
      </c>
      <c r="G4" s="10">
        <v>135170.75</v>
      </c>
    </row>
    <row r="5" spans="1:7">
      <c r="A5" t="s">
        <v>64</v>
      </c>
      <c r="B5" s="10">
        <v>2400</v>
      </c>
      <c r="C5" s="10">
        <v>154000</v>
      </c>
      <c r="D5" s="10">
        <v>6072.4</v>
      </c>
      <c r="E5" s="10"/>
      <c r="F5" s="10">
        <v>7000</v>
      </c>
      <c r="G5" s="10">
        <v>169472.4</v>
      </c>
    </row>
    <row r="6" spans="1:7">
      <c r="A6" t="s">
        <v>105</v>
      </c>
      <c r="B6" s="10"/>
      <c r="C6" s="10">
        <v>0</v>
      </c>
      <c r="D6" s="10"/>
      <c r="E6" s="10">
        <v>8120</v>
      </c>
      <c r="F6" s="10">
        <v>15575</v>
      </c>
      <c r="G6" s="10">
        <v>23695</v>
      </c>
    </row>
    <row r="7" spans="1:7">
      <c r="A7" t="s">
        <v>206</v>
      </c>
      <c r="B7" s="10">
        <v>13740</v>
      </c>
      <c r="C7" s="10">
        <v>305250</v>
      </c>
      <c r="D7" s="10">
        <v>17378.25</v>
      </c>
      <c r="E7" s="10">
        <v>26208</v>
      </c>
      <c r="F7" s="10">
        <v>41440</v>
      </c>
      <c r="G7" s="10">
        <v>404016.25</v>
      </c>
    </row>
    <row r="10" spans="1:7">
      <c r="A10" s="61" t="s">
        <v>12</v>
      </c>
      <c r="B10" t="s">
        <v>207</v>
      </c>
    </row>
    <row r="12" spans="1:7">
      <c r="A12" s="61" t="s">
        <v>178</v>
      </c>
      <c r="B12" t="s">
        <v>205</v>
      </c>
    </row>
    <row r="13" spans="1:7">
      <c r="A13" t="s">
        <v>208</v>
      </c>
      <c r="B13" s="10">
        <v>14770</v>
      </c>
    </row>
    <row r="14" spans="1:7">
      <c r="A14" t="s">
        <v>209</v>
      </c>
      <c r="B14" s="10">
        <v>1200</v>
      </c>
    </row>
    <row r="15" spans="1:7">
      <c r="A15" t="s">
        <v>181</v>
      </c>
      <c r="B15" s="10">
        <v>101277.15</v>
      </c>
    </row>
    <row r="16" spans="1:7">
      <c r="A16" t="s">
        <v>210</v>
      </c>
      <c r="B16" s="10">
        <v>15363.1</v>
      </c>
    </row>
    <row r="17" spans="1:6">
      <c r="A17" t="s">
        <v>211</v>
      </c>
      <c r="B17" s="10">
        <v>2520</v>
      </c>
    </row>
    <row r="18" spans="1:6">
      <c r="A18" t="s">
        <v>212</v>
      </c>
      <c r="B18" s="10">
        <v>9240</v>
      </c>
    </row>
    <row r="19" spans="1:6">
      <c r="A19" s="2">
        <v>46054</v>
      </c>
      <c r="B19" s="10">
        <v>6770.25</v>
      </c>
    </row>
    <row r="20" spans="1:6">
      <c r="A20" s="2">
        <v>46082</v>
      </c>
      <c r="B20" s="10">
        <v>53000</v>
      </c>
    </row>
    <row r="21" spans="1:6">
      <c r="A21" s="2">
        <v>46113</v>
      </c>
      <c r="B21" s="10">
        <v>55016</v>
      </c>
    </row>
    <row r="22" spans="1:6">
      <c r="A22" s="2">
        <v>46143</v>
      </c>
      <c r="B22" s="10">
        <v>56564.6</v>
      </c>
    </row>
    <row r="23" spans="1:6">
      <c r="A23" s="2">
        <v>46174</v>
      </c>
      <c r="B23" s="10">
        <v>88295.15</v>
      </c>
    </row>
    <row r="24" spans="1:6">
      <c r="A24" t="s">
        <v>206</v>
      </c>
      <c r="B24" s="10">
        <v>404016.25</v>
      </c>
    </row>
    <row r="27" spans="1:6">
      <c r="A27" s="61" t="s">
        <v>213</v>
      </c>
      <c r="B27" s="61" t="s">
        <v>12</v>
      </c>
    </row>
    <row r="28" spans="1:6">
      <c r="A28" s="61" t="s">
        <v>2</v>
      </c>
      <c r="B28" t="s">
        <v>52</v>
      </c>
      <c r="C28" t="s">
        <v>40</v>
      </c>
      <c r="D28" t="s">
        <v>31</v>
      </c>
      <c r="E28" t="s">
        <v>214</v>
      </c>
      <c r="F28" t="s">
        <v>206</v>
      </c>
    </row>
    <row r="29" spans="1:6">
      <c r="A29" t="s">
        <v>144</v>
      </c>
      <c r="B29" s="7"/>
      <c r="C29" s="7"/>
      <c r="D29" s="7">
        <v>3</v>
      </c>
      <c r="E29" s="7"/>
      <c r="F29" s="7">
        <v>3</v>
      </c>
    </row>
    <row r="30" spans="1:6">
      <c r="A30" t="s">
        <v>168</v>
      </c>
      <c r="B30" s="7"/>
      <c r="C30" s="7">
        <v>2</v>
      </c>
      <c r="D30" s="7">
        <v>1</v>
      </c>
      <c r="E30" s="7"/>
      <c r="F30" s="7">
        <v>3</v>
      </c>
    </row>
    <row r="31" spans="1:6">
      <c r="A31" t="s">
        <v>155</v>
      </c>
      <c r="B31" s="7"/>
      <c r="C31" s="7">
        <v>3</v>
      </c>
      <c r="D31" s="7"/>
      <c r="E31" s="7"/>
      <c r="F31" s="7">
        <v>3</v>
      </c>
    </row>
    <row r="32" spans="1:6">
      <c r="A32" t="s">
        <v>163</v>
      </c>
      <c r="B32" s="7"/>
      <c r="C32" s="7">
        <v>2</v>
      </c>
      <c r="D32" s="7">
        <v>1</v>
      </c>
      <c r="E32" s="7"/>
      <c r="F32" s="7">
        <v>3</v>
      </c>
    </row>
    <row r="33" spans="1:6">
      <c r="A33" t="s">
        <v>159</v>
      </c>
      <c r="B33" s="7"/>
      <c r="C33" s="7">
        <v>3</v>
      </c>
      <c r="D33" s="7"/>
      <c r="E33" s="7"/>
      <c r="F33" s="7">
        <v>3</v>
      </c>
    </row>
    <row r="34" spans="1:6">
      <c r="A34" t="s">
        <v>166</v>
      </c>
      <c r="B34" s="7"/>
      <c r="C34" s="7">
        <v>2</v>
      </c>
      <c r="D34" s="7"/>
      <c r="E34" s="7">
        <v>1</v>
      </c>
      <c r="F34" s="7">
        <v>3</v>
      </c>
    </row>
    <row r="35" spans="1:6">
      <c r="A35" t="s">
        <v>179</v>
      </c>
      <c r="B35" s="7"/>
      <c r="C35" s="7">
        <v>3</v>
      </c>
      <c r="D35" s="7"/>
      <c r="E35" s="7"/>
      <c r="F35" s="7">
        <v>3</v>
      </c>
    </row>
    <row r="36" spans="1:6">
      <c r="A36" t="s">
        <v>152</v>
      </c>
      <c r="B36" s="7">
        <v>1</v>
      </c>
      <c r="C36" s="7">
        <v>2</v>
      </c>
      <c r="D36" s="7"/>
      <c r="E36" s="7"/>
      <c r="F36" s="7">
        <v>3</v>
      </c>
    </row>
    <row r="37" spans="1:6">
      <c r="A37" t="s">
        <v>149</v>
      </c>
      <c r="B37" s="7"/>
      <c r="C37" s="7">
        <v>3</v>
      </c>
      <c r="D37" s="7"/>
      <c r="E37" s="7"/>
      <c r="F37" s="7">
        <v>3</v>
      </c>
    </row>
    <row r="38" spans="1:6">
      <c r="A38" t="s">
        <v>172</v>
      </c>
      <c r="B38" s="7"/>
      <c r="C38" s="7">
        <v>1</v>
      </c>
      <c r="D38" s="7">
        <v>1</v>
      </c>
      <c r="E38" s="7"/>
      <c r="F38" s="7">
        <v>2</v>
      </c>
    </row>
    <row r="39" spans="1:6">
      <c r="A39" t="s">
        <v>206</v>
      </c>
      <c r="B39" s="7">
        <v>1</v>
      </c>
      <c r="C39" s="7">
        <v>21</v>
      </c>
      <c r="D39" s="7">
        <v>6</v>
      </c>
      <c r="E39" s="7">
        <v>1</v>
      </c>
      <c r="F39" s="7">
        <v>29</v>
      </c>
    </row>
  </sheetData>
  <conditionalFormatting pivot="1" sqref="B3:G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5B1BF-EB32-4506-8A5D-9B4F1CE9B5B8}">
  <dimension ref="A1:D28"/>
  <sheetViews>
    <sheetView showGridLines="0" showRowColHeaders="0" workbookViewId="0">
      <selection activeCell="D5" sqref="D5"/>
    </sheetView>
  </sheetViews>
  <sheetFormatPr defaultRowHeight="15"/>
  <cols>
    <col min="1" max="4" width="36.5703125" style="62" bestFit="1" customWidth="1"/>
    <col min="5" max="6" width="9.140625" style="62"/>
    <col min="7" max="7" width="14.140625" style="62" bestFit="1" customWidth="1"/>
    <col min="8" max="9" width="9.140625" style="62"/>
    <col min="10" max="10" width="20" style="62" bestFit="1" customWidth="1"/>
    <col min="11" max="12" width="9.140625" style="62"/>
    <col min="13" max="13" width="26.5703125" style="62" bestFit="1" customWidth="1"/>
    <col min="14" max="16384" width="9.140625" style="62"/>
  </cols>
  <sheetData>
    <row r="1" spans="1:4" ht="23.25">
      <c r="B1" s="63" t="s">
        <v>215</v>
      </c>
      <c r="C1" s="64"/>
    </row>
    <row r="2" spans="1:4">
      <c r="A2" s="66" t="s">
        <v>216</v>
      </c>
      <c r="C2" s="65"/>
      <c r="D2" s="65"/>
    </row>
    <row r="4" spans="1:4">
      <c r="A4" s="67" t="s">
        <v>217</v>
      </c>
      <c r="B4" s="70" t="s">
        <v>218</v>
      </c>
      <c r="C4" s="75" t="s">
        <v>219</v>
      </c>
      <c r="D4" s="73" t="s">
        <v>220</v>
      </c>
    </row>
    <row r="5" spans="1:4" ht="26.25">
      <c r="A5" s="68">
        <f>Analysis!G2</f>
        <v>391696.25</v>
      </c>
      <c r="B5" s="71">
        <v>27</v>
      </c>
      <c r="C5" s="83">
        <f>Analysis!G4</f>
        <v>14507.268518518518</v>
      </c>
      <c r="D5" s="84" t="str">
        <f>ROUND(Analysis!G10,1)&amp;"%"</f>
        <v>74.1%</v>
      </c>
    </row>
    <row r="6" spans="1:4">
      <c r="A6" s="69" t="s">
        <v>221</v>
      </c>
      <c r="B6" s="72" t="s">
        <v>222</v>
      </c>
      <c r="C6" s="76" t="s">
        <v>223</v>
      </c>
      <c r="D6" s="74" t="s">
        <v>224</v>
      </c>
    </row>
    <row r="8" spans="1:4">
      <c r="A8" s="77"/>
      <c r="B8" s="77"/>
      <c r="C8" s="77"/>
      <c r="D8" s="77"/>
    </row>
    <row r="23" spans="3:4" ht="30.75">
      <c r="C23" s="78" t="s">
        <v>225</v>
      </c>
    </row>
    <row r="24" spans="3:4" ht="30.75">
      <c r="C24" s="79" t="s">
        <v>226</v>
      </c>
    </row>
    <row r="25" spans="3:4" ht="30.75">
      <c r="C25" s="79" t="s">
        <v>227</v>
      </c>
    </row>
    <row r="26" spans="3:4">
      <c r="C26" s="80" t="s">
        <v>228</v>
      </c>
    </row>
    <row r="27" spans="3:4">
      <c r="C27" s="80" t="s">
        <v>229</v>
      </c>
    </row>
    <row r="28" spans="3:4" ht="30.75">
      <c r="C28" s="81" t="s">
        <v>230</v>
      </c>
      <c r="D28" s="82" t="s">
        <v>231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2026-06-17T13:56:46Z</dcterms:created>
  <dcterms:modified xsi:type="dcterms:W3CDTF">2026-06-26T16:12:23Z</dcterms:modified>
  <cp:category/>
  <cp:contentStatus/>
</cp:coreProperties>
</file>